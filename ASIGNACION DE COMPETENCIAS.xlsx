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/Users/manu/Desktop/GAV-APP-AKC-main/modulos/plan-anual/"/>
    </mc:Choice>
  </mc:AlternateContent>
  <xr:revisionPtr revIDLastSave="72" documentId="13_ncr:1_{4681491B-5DA5-504A-8D59-CA9E43B0ABEE}" xr6:coauthVersionLast="47" xr6:coauthVersionMax="47" xr10:uidLastSave="{DE3245AA-C63A-234D-91D2-6905E1388B8B}"/>
  <bookViews>
    <workbookView xWindow="0" yWindow="500" windowWidth="33600" windowHeight="205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33" i="1"/>
  <c r="O31" i="1"/>
  <c r="O28" i="1"/>
  <c r="O29" i="1"/>
  <c r="O30" i="1"/>
  <c r="O27" i="1"/>
  <c r="O26" i="1"/>
  <c r="O25" i="1"/>
  <c r="O24" i="1"/>
  <c r="O21" i="1"/>
  <c r="O22" i="1"/>
  <c r="O23" i="1"/>
  <c r="O20" i="1"/>
  <c r="O19" i="1"/>
  <c r="O18" i="1"/>
  <c r="O6" i="1"/>
  <c r="O7" i="1"/>
  <c r="O8" i="1"/>
  <c r="O9" i="1"/>
  <c r="O10" i="1"/>
  <c r="O11" i="1"/>
  <c r="O12" i="1"/>
  <c r="O13" i="1"/>
  <c r="O14" i="1"/>
  <c r="O15" i="1"/>
  <c r="O16" i="1"/>
  <c r="O17" i="1"/>
  <c r="O5" i="1"/>
  <c r="O32" i="1"/>
</calcChain>
</file>

<file path=xl/sharedStrings.xml><?xml version="1.0" encoding="utf-8"?>
<sst xmlns="http://schemas.openxmlformats.org/spreadsheetml/2006/main" count="435" uniqueCount="64">
  <si>
    <t>Atleta</t>
  </si>
  <si>
    <t>Nivel</t>
  </si>
  <si>
    <t>PARTICIPACION</t>
  </si>
  <si>
    <t>Santiago Camacho</t>
  </si>
  <si>
    <t>SI</t>
  </si>
  <si>
    <t>No aplica</t>
  </si>
  <si>
    <t>Leonardo Camacho</t>
  </si>
  <si>
    <t>Mauro Regand</t>
  </si>
  <si>
    <t>Nicolás Capitanacci</t>
  </si>
  <si>
    <t>Yerik Guerra</t>
  </si>
  <si>
    <t>Mikel Larrinua</t>
  </si>
  <si>
    <t>NO</t>
  </si>
  <si>
    <t>Alonso Ahedo</t>
  </si>
  <si>
    <t>Mario Bisteni</t>
  </si>
  <si>
    <t>Diego Vela</t>
  </si>
  <si>
    <t>David Rangel</t>
  </si>
  <si>
    <t>Nicolás Flores</t>
  </si>
  <si>
    <t>Diego Cuevas</t>
  </si>
  <si>
    <t>Carlos Aznar</t>
  </si>
  <si>
    <t>Alfredo Jacobo</t>
  </si>
  <si>
    <t>José María Robles</t>
  </si>
  <si>
    <t>Diego Chávez</t>
  </si>
  <si>
    <t>Bruno Jacobo</t>
  </si>
  <si>
    <t>Fernando Talavera</t>
  </si>
  <si>
    <t>Ricardo Jiménez</t>
  </si>
  <si>
    <t>Emiliano González</t>
  </si>
  <si>
    <t>Brittán Robles</t>
  </si>
  <si>
    <t>Santiago Sigler</t>
  </si>
  <si>
    <t>Isaac Martínez</t>
  </si>
  <si>
    <t>Diego Rodríguez</t>
  </si>
  <si>
    <t>Bruno Báez</t>
  </si>
  <si>
    <t>Maximiliano Díaz</t>
  </si>
  <si>
    <t>Pablo Mares</t>
  </si>
  <si>
    <t>Diego Jaime</t>
  </si>
  <si>
    <t>AGEPAC 27</t>
  </si>
  <si>
    <t>COPA JAIME ROMERO 27</t>
  </si>
  <si>
    <t>CAMPEONATO ESTATAL GUEM 27</t>
  </si>
  <si>
    <t>CAMPEONATO NACIONAL FMG 27</t>
  </si>
  <si>
    <t>10 FIG</t>
  </si>
  <si>
    <t>Isaac Rangel</t>
  </si>
  <si>
    <t>Leonardo Garcia Lazaro</t>
  </si>
  <si>
    <t>Erik Lopez</t>
  </si>
  <si>
    <t>SEDE
Tlaxcala Tlaxcala</t>
  </si>
  <si>
    <t>SEDE
CDMX</t>
  </si>
  <si>
    <t>SEDE
KIDS CENTER</t>
  </si>
  <si>
    <t>SEDE
Sarasota Florida</t>
  </si>
  <si>
    <t>SEDE
Por definir</t>
  </si>
  <si>
    <t>SEDE
Puebla Puebla</t>
  </si>
  <si>
    <t>SEDE
Guadalajara Jalisco</t>
  </si>
  <si>
    <t>SEDE
Estado de Mexico</t>
  </si>
  <si>
    <t>Por definir</t>
  </si>
  <si>
    <t>CONTROL SIN JUEZ</t>
  </si>
  <si>
    <t>COPA DANIEL CORRAL 27</t>
  </si>
  <si>
    <t>SEDE
Monterrey Nuevo Leon</t>
  </si>
  <si>
    <t>COPA BENITO JUAREZ 26</t>
  </si>
  <si>
    <t>MIKULAK INVITATIONAL CUP 27</t>
  </si>
  <si>
    <t>COPA ACTION GYM o CDI 26</t>
  </si>
  <si>
    <t>JUEGOS CONADE ON 27</t>
  </si>
  <si>
    <t>SEDE
Tamaulipas Tamaulipas</t>
  </si>
  <si>
    <t>PROBABLE 1ER SELECTIVO NACIONAL 27</t>
  </si>
  <si>
    <t>PROBABLE 2DO SELECTIVO NACIONAL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</si>
</sst>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3"/>
  <sheetViews>
    <sheetView tabSelected="1" workbookViewId="0">
      <pane xSplit="2" ySplit="2" topLeftCell="H4" activePane="bottomRight" state="frozen"/>
      <selection pane="bottomLeft" activeCell="A3" sqref="A3"/>
      <selection pane="topRight" activeCell="C1" sqref="C1"/>
      <selection pane="bottomRight" activeCell="I1" sqref="I1"/>
    </sheetView>
  </sheetViews>
  <sheetFormatPr defaultColWidth="9.01171875" defaultRowHeight="15" x14ac:dyDescent="0.2"/>
  <cols>
    <col min="1" max="1" width="18.83203125" style="1" bestFit="1" customWidth="1"/>
    <col min="2" max="2" width="10.76171875" style="1" customWidth="1"/>
    <col min="3" max="14" width="12.375" style="1" customWidth="1"/>
    <col min="15" max="15" width="15.19921875" style="1" customWidth="1"/>
    <col min="16" max="16384" width="9.01171875" style="1"/>
  </cols>
  <sheetData>
    <row r="1" spans="1:15" s="2" customFormat="1" ht="45.95" customHeight="1" x14ac:dyDescent="0.2">
      <c r="A1" s="7" t="s">
        <v>0</v>
      </c>
      <c r="B1" s="7" t="s">
        <v>1</v>
      </c>
      <c r="C1" s="3" t="s">
        <v>56</v>
      </c>
      <c r="D1" s="3" t="s">
        <v>54</v>
      </c>
      <c r="E1" s="3" t="s">
        <v>51</v>
      </c>
      <c r="F1" s="3" t="s">
        <v>55</v>
      </c>
      <c r="G1" s="3" t="s">
        <v>59</v>
      </c>
      <c r="H1" s="3" t="s">
        <v>34</v>
      </c>
      <c r="I1" s="3" t="s">
        <v>60</v>
      </c>
      <c r="J1" s="3" t="s">
        <v>35</v>
      </c>
      <c r="K1" s="3" t="s">
        <v>36</v>
      </c>
      <c r="L1" s="3" t="s">
        <v>52</v>
      </c>
      <c r="M1" s="3" t="s">
        <v>37</v>
      </c>
      <c r="N1" s="3" t="s">
        <v>57</v>
      </c>
      <c r="O1" s="4" t="s">
        <v>2</v>
      </c>
    </row>
    <row r="2" spans="1:15" s="2" customFormat="1" ht="45.95" customHeight="1" x14ac:dyDescent="0.2">
      <c r="A2" s="8"/>
      <c r="B2" s="8"/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46</v>
      </c>
      <c r="J2" s="3" t="s">
        <v>48</v>
      </c>
      <c r="K2" s="3" t="s">
        <v>49</v>
      </c>
      <c r="L2" s="3" t="s">
        <v>53</v>
      </c>
      <c r="M2" s="3" t="s">
        <v>46</v>
      </c>
      <c r="N2" s="3" t="s">
        <v>58</v>
      </c>
      <c r="O2" s="4"/>
    </row>
    <row r="3" spans="1:15" ht="21" customHeight="1" x14ac:dyDescent="0.2">
      <c r="A3" s="5" t="s">
        <v>39</v>
      </c>
      <c r="B3" s="5">
        <v>3</v>
      </c>
      <c r="C3" s="5" t="s">
        <v>4</v>
      </c>
      <c r="D3" s="5" t="s">
        <v>4</v>
      </c>
      <c r="E3" s="5" t="s">
        <v>4</v>
      </c>
      <c r="F3" s="5" t="s">
        <v>4</v>
      </c>
      <c r="G3" s="5" t="s">
        <v>5</v>
      </c>
      <c r="H3" s="5" t="s">
        <v>4</v>
      </c>
      <c r="I3" s="5" t="s">
        <v>5</v>
      </c>
      <c r="J3" s="5" t="s">
        <v>4</v>
      </c>
      <c r="K3" s="5" t="s">
        <v>5</v>
      </c>
      <c r="L3" s="5" t="s">
        <v>4</v>
      </c>
      <c r="M3" s="5" t="s">
        <v>5</v>
      </c>
      <c r="N3" s="5" t="s">
        <v>5</v>
      </c>
      <c r="O3" s="6">
        <f>COUNTIF(C3:N3,"SI")/7</f>
        <v>1</v>
      </c>
    </row>
    <row r="4" spans="1:15" ht="21" customHeight="1" x14ac:dyDescent="0.2">
      <c r="A4" s="5" t="s">
        <v>40</v>
      </c>
      <c r="B4" s="5">
        <v>3</v>
      </c>
      <c r="C4" s="5" t="s">
        <v>4</v>
      </c>
      <c r="D4" s="5" t="s">
        <v>4</v>
      </c>
      <c r="E4" s="5" t="s">
        <v>4</v>
      </c>
      <c r="F4" s="5" t="s">
        <v>4</v>
      </c>
      <c r="G4" s="5" t="s">
        <v>5</v>
      </c>
      <c r="H4" s="5" t="s">
        <v>4</v>
      </c>
      <c r="I4" s="5" t="s">
        <v>5</v>
      </c>
      <c r="J4" s="5" t="s">
        <v>4</v>
      </c>
      <c r="K4" s="5" t="s">
        <v>5</v>
      </c>
      <c r="L4" s="5" t="s">
        <v>4</v>
      </c>
      <c r="M4" s="5" t="s">
        <v>5</v>
      </c>
      <c r="N4" s="5" t="s">
        <v>5</v>
      </c>
      <c r="O4" s="6">
        <f>COUNTIF(C4:N4,"SI")/7</f>
        <v>1</v>
      </c>
    </row>
    <row r="5" spans="1:15" ht="21" customHeight="1" x14ac:dyDescent="0.2">
      <c r="A5" s="5" t="s">
        <v>41</v>
      </c>
      <c r="B5" s="5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5</v>
      </c>
      <c r="H5" s="5" t="s">
        <v>4</v>
      </c>
      <c r="I5" s="5" t="s">
        <v>5</v>
      </c>
      <c r="J5" s="5" t="s">
        <v>4</v>
      </c>
      <c r="K5" s="5" t="s">
        <v>4</v>
      </c>
      <c r="L5" s="5" t="s">
        <v>4</v>
      </c>
      <c r="M5" s="5" t="s">
        <v>4</v>
      </c>
      <c r="N5" s="5" t="s">
        <v>5</v>
      </c>
      <c r="O5" s="6">
        <f>COUNTIF(C5:N5,"SI")/9</f>
        <v>1</v>
      </c>
    </row>
    <row r="6" spans="1:15" ht="21" customHeight="1" x14ac:dyDescent="0.2">
      <c r="A6" s="5" t="s">
        <v>3</v>
      </c>
      <c r="B6" s="5">
        <v>5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5</v>
      </c>
      <c r="H6" s="5" t="s">
        <v>4</v>
      </c>
      <c r="I6" s="5" t="s">
        <v>5</v>
      </c>
      <c r="J6" s="5" t="s">
        <v>4</v>
      </c>
      <c r="K6" s="5" t="s">
        <v>4</v>
      </c>
      <c r="L6" s="5" t="s">
        <v>4</v>
      </c>
      <c r="M6" s="5" t="s">
        <v>4</v>
      </c>
      <c r="N6" s="5" t="s">
        <v>5</v>
      </c>
      <c r="O6" s="6">
        <f>COUNTIF(C6:N6,"SI")/9</f>
        <v>1</v>
      </c>
    </row>
    <row r="7" spans="1:15" ht="21" customHeight="1" x14ac:dyDescent="0.2">
      <c r="A7" s="5" t="s">
        <v>6</v>
      </c>
      <c r="B7" s="5">
        <v>5</v>
      </c>
      <c r="C7" s="5" t="s">
        <v>4</v>
      </c>
      <c r="D7" s="5" t="s">
        <v>4</v>
      </c>
      <c r="E7" s="5" t="s">
        <v>4</v>
      </c>
      <c r="F7" s="5" t="s">
        <v>4</v>
      </c>
      <c r="G7" s="5" t="s">
        <v>5</v>
      </c>
      <c r="H7" s="5" t="s">
        <v>4</v>
      </c>
      <c r="I7" s="5" t="s">
        <v>5</v>
      </c>
      <c r="J7" s="5" t="s">
        <v>4</v>
      </c>
      <c r="K7" s="5" t="s">
        <v>4</v>
      </c>
      <c r="L7" s="5" t="s">
        <v>4</v>
      </c>
      <c r="M7" s="5" t="s">
        <v>4</v>
      </c>
      <c r="N7" s="5" t="s">
        <v>5</v>
      </c>
      <c r="O7" s="6">
        <f>COUNTIF(C7:N7,"SI")/9</f>
        <v>1</v>
      </c>
    </row>
    <row r="8" spans="1:15" ht="21" customHeight="1" x14ac:dyDescent="0.2">
      <c r="A8" s="5" t="s">
        <v>7</v>
      </c>
      <c r="B8" s="5">
        <v>5</v>
      </c>
      <c r="C8" s="5" t="s">
        <v>4</v>
      </c>
      <c r="D8" s="5" t="s">
        <v>4</v>
      </c>
      <c r="E8" s="5" t="s">
        <v>4</v>
      </c>
      <c r="F8" s="5" t="s">
        <v>4</v>
      </c>
      <c r="G8" s="5" t="s">
        <v>5</v>
      </c>
      <c r="H8" s="5" t="s">
        <v>4</v>
      </c>
      <c r="I8" s="5" t="s">
        <v>5</v>
      </c>
      <c r="J8" s="5" t="s">
        <v>4</v>
      </c>
      <c r="K8" s="5" t="s">
        <v>4</v>
      </c>
      <c r="L8" s="5" t="s">
        <v>4</v>
      </c>
      <c r="M8" s="5" t="s">
        <v>4</v>
      </c>
      <c r="N8" s="5" t="s">
        <v>5</v>
      </c>
      <c r="O8" s="6">
        <f>COUNTIF(C8:N8,"SI")/9</f>
        <v>1</v>
      </c>
    </row>
    <row r="9" spans="1:15" ht="21" customHeight="1" x14ac:dyDescent="0.2">
      <c r="A9" s="5" t="s">
        <v>15</v>
      </c>
      <c r="B9" s="5" t="s">
        <v>50</v>
      </c>
      <c r="C9" s="5" t="s">
        <v>4</v>
      </c>
      <c r="D9" s="5" t="s">
        <v>4</v>
      </c>
      <c r="E9" s="5" t="s">
        <v>4</v>
      </c>
      <c r="F9" s="5" t="s">
        <v>4</v>
      </c>
      <c r="G9" s="5" t="s">
        <v>5</v>
      </c>
      <c r="H9" s="5" t="s">
        <v>4</v>
      </c>
      <c r="I9" s="5" t="s">
        <v>5</v>
      </c>
      <c r="J9" s="5" t="s">
        <v>4</v>
      </c>
      <c r="K9" s="5" t="s">
        <v>4</v>
      </c>
      <c r="L9" s="5" t="s">
        <v>4</v>
      </c>
      <c r="M9" s="5" t="s">
        <v>4</v>
      </c>
      <c r="N9" s="5" t="s">
        <v>5</v>
      </c>
      <c r="O9" s="6">
        <f>COUNTIF(C9:N9,"SI")/9</f>
        <v>1</v>
      </c>
    </row>
    <row r="10" spans="1:15" ht="21" customHeight="1" x14ac:dyDescent="0.2">
      <c r="A10" s="5" t="s">
        <v>16</v>
      </c>
      <c r="B10" s="5">
        <v>5</v>
      </c>
      <c r="C10" s="5" t="s">
        <v>4</v>
      </c>
      <c r="D10" s="5" t="s">
        <v>4</v>
      </c>
      <c r="E10" s="5" t="s">
        <v>4</v>
      </c>
      <c r="F10" s="5" t="s">
        <v>4</v>
      </c>
      <c r="G10" s="5" t="s">
        <v>5</v>
      </c>
      <c r="H10" s="5" t="s">
        <v>4</v>
      </c>
      <c r="I10" s="5" t="s">
        <v>5</v>
      </c>
      <c r="J10" s="5" t="s">
        <v>4</v>
      </c>
      <c r="K10" s="5" t="s">
        <v>4</v>
      </c>
      <c r="L10" s="5" t="s">
        <v>4</v>
      </c>
      <c r="M10" s="5" t="s">
        <v>4</v>
      </c>
      <c r="N10" s="5" t="s">
        <v>5</v>
      </c>
      <c r="O10" s="6">
        <f>COUNTIF(C10:N10,"SI")/9</f>
        <v>1</v>
      </c>
    </row>
    <row r="11" spans="1:15" ht="21" customHeight="1" x14ac:dyDescent="0.2">
      <c r="A11" s="5" t="s">
        <v>17</v>
      </c>
      <c r="B11" s="5">
        <v>5</v>
      </c>
      <c r="C11" s="5" t="s">
        <v>4</v>
      </c>
      <c r="D11" s="5" t="s">
        <v>4</v>
      </c>
      <c r="E11" s="5" t="s">
        <v>4</v>
      </c>
      <c r="F11" s="5" t="s">
        <v>4</v>
      </c>
      <c r="G11" s="5" t="s">
        <v>5</v>
      </c>
      <c r="H11" s="5" t="s">
        <v>4</v>
      </c>
      <c r="I11" s="5" t="s">
        <v>5</v>
      </c>
      <c r="J11" s="5" t="s">
        <v>4</v>
      </c>
      <c r="K11" s="5" t="s">
        <v>4</v>
      </c>
      <c r="L11" s="5" t="s">
        <v>4</v>
      </c>
      <c r="M11" s="5" t="s">
        <v>4</v>
      </c>
      <c r="N11" s="5" t="s">
        <v>5</v>
      </c>
      <c r="O11" s="6">
        <f>COUNTIF(C11:N11,"SI")/9</f>
        <v>1</v>
      </c>
    </row>
    <row r="12" spans="1:15" ht="21" customHeight="1" x14ac:dyDescent="0.2">
      <c r="A12" s="5" t="s">
        <v>18</v>
      </c>
      <c r="B12" s="5" t="s">
        <v>50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5</v>
      </c>
      <c r="H12" s="5" t="s">
        <v>4</v>
      </c>
      <c r="I12" s="5" t="s">
        <v>5</v>
      </c>
      <c r="J12" s="5" t="s">
        <v>4</v>
      </c>
      <c r="K12" s="5" t="s">
        <v>4</v>
      </c>
      <c r="L12" s="5" t="s">
        <v>4</v>
      </c>
      <c r="M12" s="5" t="s">
        <v>4</v>
      </c>
      <c r="N12" s="5" t="s">
        <v>5</v>
      </c>
      <c r="O12" s="6">
        <f>COUNTIF(C12:N12,"SI")/9</f>
        <v>1</v>
      </c>
    </row>
    <row r="13" spans="1:15" ht="21" customHeight="1" x14ac:dyDescent="0.2">
      <c r="A13" s="5" t="s">
        <v>19</v>
      </c>
      <c r="B13" s="5">
        <v>5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5</v>
      </c>
      <c r="H13" s="5" t="s">
        <v>4</v>
      </c>
      <c r="I13" s="5" t="s">
        <v>5</v>
      </c>
      <c r="J13" s="5" t="s">
        <v>4</v>
      </c>
      <c r="K13" s="5" t="s">
        <v>4</v>
      </c>
      <c r="L13" s="5" t="s">
        <v>4</v>
      </c>
      <c r="M13" s="5" t="s">
        <v>4</v>
      </c>
      <c r="N13" s="5" t="s">
        <v>5</v>
      </c>
      <c r="O13" s="6">
        <f>COUNTIF(C13:N13,"SI")/9</f>
        <v>1</v>
      </c>
    </row>
    <row r="14" spans="1:15" ht="21" customHeight="1" x14ac:dyDescent="0.2">
      <c r="A14" s="5" t="s">
        <v>20</v>
      </c>
      <c r="B14" s="5">
        <v>5</v>
      </c>
      <c r="C14" s="5" t="s">
        <v>4</v>
      </c>
      <c r="D14" s="5" t="s">
        <v>4</v>
      </c>
      <c r="E14" s="5" t="s">
        <v>4</v>
      </c>
      <c r="F14" s="5" t="s">
        <v>4</v>
      </c>
      <c r="G14" s="5" t="s">
        <v>5</v>
      </c>
      <c r="H14" s="5" t="s">
        <v>4</v>
      </c>
      <c r="I14" s="5" t="s">
        <v>5</v>
      </c>
      <c r="J14" s="5" t="s">
        <v>4</v>
      </c>
      <c r="K14" s="5" t="s">
        <v>4</v>
      </c>
      <c r="L14" s="5" t="s">
        <v>4</v>
      </c>
      <c r="M14" s="5" t="s">
        <v>4</v>
      </c>
      <c r="N14" s="5" t="s">
        <v>5</v>
      </c>
      <c r="O14" s="6">
        <f>COUNTIF(C14:N14,"SI")/9</f>
        <v>1</v>
      </c>
    </row>
    <row r="15" spans="1:15" ht="21" customHeight="1" x14ac:dyDescent="0.2">
      <c r="A15" s="5" t="s">
        <v>25</v>
      </c>
      <c r="B15" s="5">
        <v>5</v>
      </c>
      <c r="C15" s="5" t="s">
        <v>4</v>
      </c>
      <c r="D15" s="5" t="s">
        <v>4</v>
      </c>
      <c r="E15" s="5" t="s">
        <v>4</v>
      </c>
      <c r="F15" s="5" t="s">
        <v>4</v>
      </c>
      <c r="G15" s="5" t="s">
        <v>5</v>
      </c>
      <c r="H15" s="5" t="s">
        <v>4</v>
      </c>
      <c r="I15" s="5" t="s">
        <v>5</v>
      </c>
      <c r="J15" s="5" t="s">
        <v>4</v>
      </c>
      <c r="K15" s="5" t="s">
        <v>4</v>
      </c>
      <c r="L15" s="5" t="s">
        <v>4</v>
      </c>
      <c r="M15" s="5" t="s">
        <v>4</v>
      </c>
      <c r="N15" s="5" t="s">
        <v>5</v>
      </c>
      <c r="O15" s="6">
        <f>COUNTIF(C15:N15,"SI")/9</f>
        <v>1</v>
      </c>
    </row>
    <row r="16" spans="1:15" ht="21" customHeight="1" x14ac:dyDescent="0.2">
      <c r="A16" s="5" t="s">
        <v>30</v>
      </c>
      <c r="B16" s="5">
        <v>5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5</v>
      </c>
      <c r="H16" s="5" t="s">
        <v>4</v>
      </c>
      <c r="I16" s="5" t="s">
        <v>5</v>
      </c>
      <c r="J16" s="5" t="s">
        <v>4</v>
      </c>
      <c r="K16" s="5" t="s">
        <v>4</v>
      </c>
      <c r="L16" s="5" t="s">
        <v>4</v>
      </c>
      <c r="M16" s="5" t="s">
        <v>4</v>
      </c>
      <c r="N16" s="5" t="s">
        <v>5</v>
      </c>
      <c r="O16" s="6">
        <f>COUNTIF(C16:N16,"SI")/9</f>
        <v>1</v>
      </c>
    </row>
    <row r="17" spans="1:15" ht="21" customHeight="1" x14ac:dyDescent="0.2">
      <c r="A17" s="5" t="s">
        <v>26</v>
      </c>
      <c r="B17" s="5">
        <v>5</v>
      </c>
      <c r="C17" s="5" t="s">
        <v>4</v>
      </c>
      <c r="D17" s="5" t="s">
        <v>4</v>
      </c>
      <c r="E17" s="5" t="s">
        <v>4</v>
      </c>
      <c r="F17" s="5" t="s">
        <v>4</v>
      </c>
      <c r="G17" s="5" t="s">
        <v>5</v>
      </c>
      <c r="H17" s="5" t="s">
        <v>4</v>
      </c>
      <c r="I17" s="5" t="s">
        <v>5</v>
      </c>
      <c r="J17" s="5" t="s">
        <v>4</v>
      </c>
      <c r="K17" s="5" t="s">
        <v>4</v>
      </c>
      <c r="L17" s="5" t="s">
        <v>4</v>
      </c>
      <c r="M17" s="5" t="s">
        <v>4</v>
      </c>
      <c r="N17" s="5" t="s">
        <v>5</v>
      </c>
      <c r="O17" s="6">
        <f>COUNTIF(C17:N17,"SI")/9</f>
        <v>1</v>
      </c>
    </row>
    <row r="18" spans="1:15" ht="21" customHeight="1" x14ac:dyDescent="0.2">
      <c r="A18" s="5" t="s">
        <v>22</v>
      </c>
      <c r="B18" s="5">
        <v>6</v>
      </c>
      <c r="C18" s="5" t="s">
        <v>4</v>
      </c>
      <c r="D18" s="5" t="s">
        <v>4</v>
      </c>
      <c r="E18" s="5" t="s">
        <v>4</v>
      </c>
      <c r="F18" s="5" t="s">
        <v>4</v>
      </c>
      <c r="G18" s="5" t="s">
        <v>5</v>
      </c>
      <c r="H18" s="5" t="s">
        <v>4</v>
      </c>
      <c r="I18" s="5" t="s">
        <v>5</v>
      </c>
      <c r="J18" s="5" t="s">
        <v>4</v>
      </c>
      <c r="K18" s="5" t="s">
        <v>4</v>
      </c>
      <c r="L18" s="5" t="s">
        <v>4</v>
      </c>
      <c r="M18" s="5" t="s">
        <v>4</v>
      </c>
      <c r="N18" s="5" t="s">
        <v>4</v>
      </c>
      <c r="O18" s="6">
        <f>COUNTIF(C18:N18,"SI")/10</f>
        <v>1</v>
      </c>
    </row>
    <row r="19" spans="1:15" ht="21" customHeight="1" x14ac:dyDescent="0.2">
      <c r="A19" s="5" t="s">
        <v>21</v>
      </c>
      <c r="B19" s="5">
        <v>7</v>
      </c>
      <c r="C19" s="5" t="s">
        <v>4</v>
      </c>
      <c r="D19" s="5" t="s">
        <v>4</v>
      </c>
      <c r="E19" s="5" t="s">
        <v>4</v>
      </c>
      <c r="F19" s="5" t="s">
        <v>4</v>
      </c>
      <c r="G19" s="5" t="s">
        <v>5</v>
      </c>
      <c r="H19" s="5" t="s">
        <v>4</v>
      </c>
      <c r="I19" s="5" t="s">
        <v>5</v>
      </c>
      <c r="J19" s="5" t="s">
        <v>4</v>
      </c>
      <c r="K19" s="5" t="s">
        <v>4</v>
      </c>
      <c r="L19" s="5" t="s">
        <v>4</v>
      </c>
      <c r="M19" s="5" t="s">
        <v>4</v>
      </c>
      <c r="N19" s="5" t="s">
        <v>5</v>
      </c>
      <c r="O19" s="6">
        <f>COUNTIF(C19:N19,"SI")/9</f>
        <v>1</v>
      </c>
    </row>
    <row r="20" spans="1:15" ht="21" customHeight="1" x14ac:dyDescent="0.2">
      <c r="A20" s="5" t="s">
        <v>8</v>
      </c>
      <c r="B20" s="5">
        <v>8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5</v>
      </c>
      <c r="H20" s="5" t="s">
        <v>4</v>
      </c>
      <c r="I20" s="5" t="s">
        <v>5</v>
      </c>
      <c r="J20" s="5" t="s">
        <v>4</v>
      </c>
      <c r="K20" s="5" t="s">
        <v>4</v>
      </c>
      <c r="L20" s="5" t="s">
        <v>4</v>
      </c>
      <c r="M20" s="5" t="s">
        <v>4</v>
      </c>
      <c r="N20" s="5" t="s">
        <v>4</v>
      </c>
      <c r="O20" s="6">
        <f>COUNTIF(C20:N20,"SI")/10</f>
        <v>1</v>
      </c>
    </row>
    <row r="21" spans="1:15" ht="21" customHeight="1" x14ac:dyDescent="0.2">
      <c r="A21" s="5" t="s">
        <v>13</v>
      </c>
      <c r="B21" s="5">
        <v>8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5</v>
      </c>
      <c r="H21" s="5" t="s">
        <v>4</v>
      </c>
      <c r="I21" s="5" t="s">
        <v>5</v>
      </c>
      <c r="J21" s="5" t="s">
        <v>4</v>
      </c>
      <c r="K21" s="5" t="s">
        <v>4</v>
      </c>
      <c r="L21" s="5" t="s">
        <v>4</v>
      </c>
      <c r="M21" s="5" t="s">
        <v>4</v>
      </c>
      <c r="N21" s="5" t="s">
        <v>4</v>
      </c>
      <c r="O21" s="6">
        <f>COUNTIF(C21:N21,"SI")/10</f>
        <v>1</v>
      </c>
    </row>
    <row r="22" spans="1:15" ht="21" customHeight="1" x14ac:dyDescent="0.2">
      <c r="A22" s="5" t="s">
        <v>27</v>
      </c>
      <c r="B22" s="5">
        <v>8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5</v>
      </c>
      <c r="H22" s="5" t="s">
        <v>4</v>
      </c>
      <c r="I22" s="5" t="s">
        <v>5</v>
      </c>
      <c r="J22" s="5" t="s">
        <v>4</v>
      </c>
      <c r="K22" s="5" t="s">
        <v>4</v>
      </c>
      <c r="L22" s="5" t="s">
        <v>4</v>
      </c>
      <c r="M22" s="5" t="s">
        <v>4</v>
      </c>
      <c r="N22" s="5" t="s">
        <v>4</v>
      </c>
      <c r="O22" s="6">
        <f>COUNTIF(C22:N22,"SI")/10</f>
        <v>1</v>
      </c>
    </row>
    <row r="23" spans="1:15" ht="21" customHeight="1" x14ac:dyDescent="0.2">
      <c r="A23" s="5" t="s">
        <v>31</v>
      </c>
      <c r="B23" s="5">
        <v>8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5</v>
      </c>
      <c r="H23" s="5" t="s">
        <v>4</v>
      </c>
      <c r="I23" s="5" t="s">
        <v>5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6">
        <f>COUNTIF(C23:N23,"SI")/10</f>
        <v>1</v>
      </c>
    </row>
    <row r="24" spans="1:15" ht="21" customHeight="1" x14ac:dyDescent="0.2">
      <c r="A24" s="5" t="s">
        <v>9</v>
      </c>
      <c r="B24" s="5">
        <v>9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5" t="s">
        <v>4</v>
      </c>
      <c r="I24" s="5" t="s">
        <v>4</v>
      </c>
      <c r="J24" s="5" t="s">
        <v>4</v>
      </c>
      <c r="K24" s="5" t="s">
        <v>4</v>
      </c>
      <c r="L24" s="5" t="s">
        <v>4</v>
      </c>
      <c r="M24" s="5" t="s">
        <v>4</v>
      </c>
      <c r="N24" s="5" t="s">
        <v>4</v>
      </c>
      <c r="O24" s="6">
        <f>COUNTIF(C24:N24,"SI")/12</f>
        <v>1</v>
      </c>
    </row>
    <row r="25" spans="1:15" ht="21" customHeight="1" x14ac:dyDescent="0.2">
      <c r="A25" s="5" t="s">
        <v>23</v>
      </c>
      <c r="B25" s="5">
        <v>9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5" t="s">
        <v>4</v>
      </c>
      <c r="I25" s="5" t="s">
        <v>4</v>
      </c>
      <c r="J25" s="5" t="s">
        <v>4</v>
      </c>
      <c r="K25" s="5" t="s">
        <v>4</v>
      </c>
      <c r="L25" s="5" t="s">
        <v>4</v>
      </c>
      <c r="M25" s="5" t="s">
        <v>4</v>
      </c>
      <c r="N25" s="5" t="s">
        <v>5</v>
      </c>
      <c r="O25" s="6">
        <f>COUNTIF(C25:N25,"SI")/11</f>
        <v>1</v>
      </c>
    </row>
    <row r="26" spans="1:15" ht="21" customHeight="1" x14ac:dyDescent="0.2">
      <c r="A26" s="5" t="s">
        <v>14</v>
      </c>
      <c r="B26" s="5">
        <v>9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5</v>
      </c>
      <c r="H26" s="5" t="s">
        <v>4</v>
      </c>
      <c r="I26" s="5" t="s">
        <v>5</v>
      </c>
      <c r="J26" s="5" t="s">
        <v>4</v>
      </c>
      <c r="K26" s="5" t="s">
        <v>4</v>
      </c>
      <c r="L26" s="5" t="s">
        <v>4</v>
      </c>
      <c r="M26" s="5" t="s">
        <v>4</v>
      </c>
      <c r="N26" s="5" t="s">
        <v>4</v>
      </c>
      <c r="O26" s="6">
        <f>COUNTIF(C26:N26,"SI")/10</f>
        <v>1</v>
      </c>
    </row>
    <row r="27" spans="1:15" ht="21" customHeight="1" x14ac:dyDescent="0.2">
      <c r="A27" s="5" t="s">
        <v>28</v>
      </c>
      <c r="B27" s="5">
        <v>9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  <c r="I27" s="5" t="s">
        <v>4</v>
      </c>
      <c r="J27" s="5" t="s">
        <v>4</v>
      </c>
      <c r="K27" s="5" t="s">
        <v>4</v>
      </c>
      <c r="L27" s="5" t="s">
        <v>4</v>
      </c>
      <c r="M27" s="5" t="s">
        <v>4</v>
      </c>
      <c r="N27" s="5" t="s">
        <v>4</v>
      </c>
      <c r="O27" s="6">
        <f>COUNTIF(C27:N27,"SI")/12</f>
        <v>1</v>
      </c>
    </row>
    <row r="28" spans="1:15" ht="21" customHeight="1" x14ac:dyDescent="0.2">
      <c r="A28" s="5" t="s">
        <v>29</v>
      </c>
      <c r="B28" s="5">
        <v>9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5" t="s">
        <v>4</v>
      </c>
      <c r="I28" s="5" t="s">
        <v>4</v>
      </c>
      <c r="J28" s="5" t="s">
        <v>4</v>
      </c>
      <c r="K28" s="5" t="s">
        <v>4</v>
      </c>
      <c r="L28" s="5" t="s">
        <v>4</v>
      </c>
      <c r="M28" s="5" t="s">
        <v>4</v>
      </c>
      <c r="N28" s="5" t="s">
        <v>4</v>
      </c>
      <c r="O28" s="6">
        <f>COUNTIF(C28:N28,"SI")/12</f>
        <v>1</v>
      </c>
    </row>
    <row r="29" spans="1:15" ht="21" customHeight="1" x14ac:dyDescent="0.2">
      <c r="A29" s="5" t="s">
        <v>10</v>
      </c>
      <c r="B29" s="5">
        <v>10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5" t="s">
        <v>4</v>
      </c>
      <c r="I29" s="5" t="s">
        <v>4</v>
      </c>
      <c r="J29" s="5" t="s">
        <v>4</v>
      </c>
      <c r="K29" s="5" t="s">
        <v>4</v>
      </c>
      <c r="L29" s="5" t="s">
        <v>4</v>
      </c>
      <c r="M29" s="5" t="s">
        <v>4</v>
      </c>
      <c r="N29" s="5" t="s">
        <v>4</v>
      </c>
      <c r="O29" s="6">
        <f>COUNTIF(C29:N29,"SI")/12</f>
        <v>1</v>
      </c>
    </row>
    <row r="30" spans="1:15" ht="21" customHeight="1" x14ac:dyDescent="0.2">
      <c r="A30" s="5" t="s">
        <v>12</v>
      </c>
      <c r="B30" s="5">
        <v>10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5" t="s">
        <v>4</v>
      </c>
      <c r="I30" s="5" t="s">
        <v>4</v>
      </c>
      <c r="J30" s="5" t="s">
        <v>4</v>
      </c>
      <c r="K30" s="5" t="s">
        <v>4</v>
      </c>
      <c r="L30" s="5" t="s">
        <v>4</v>
      </c>
      <c r="M30" s="5" t="s">
        <v>4</v>
      </c>
      <c r="N30" s="5" t="s">
        <v>4</v>
      </c>
      <c r="O30" s="6">
        <f>COUNTIF(C30:N30,"SI")/12</f>
        <v>1</v>
      </c>
    </row>
    <row r="31" spans="1:15" ht="21" customHeight="1" x14ac:dyDescent="0.2">
      <c r="A31" s="5" t="s">
        <v>24</v>
      </c>
      <c r="B31" s="5" t="s">
        <v>38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5" t="s">
        <v>4</v>
      </c>
      <c r="I31" s="5" t="s">
        <v>4</v>
      </c>
      <c r="J31" s="5" t="s">
        <v>4</v>
      </c>
      <c r="K31" s="5" t="s">
        <v>4</v>
      </c>
      <c r="L31" s="5" t="s">
        <v>4</v>
      </c>
      <c r="M31" s="5" t="s">
        <v>4</v>
      </c>
      <c r="N31" s="5" t="s">
        <v>5</v>
      </c>
      <c r="O31" s="6">
        <f>COUNTIF(C31:N31,"SI")/11</f>
        <v>1</v>
      </c>
    </row>
    <row r="32" spans="1:15" ht="21" customHeight="1" x14ac:dyDescent="0.2">
      <c r="A32" s="5" t="s">
        <v>32</v>
      </c>
      <c r="B32" s="5" t="s">
        <v>38</v>
      </c>
      <c r="C32" s="5" t="s">
        <v>11</v>
      </c>
      <c r="D32" s="5" t="s">
        <v>11</v>
      </c>
      <c r="E32" s="5" t="s">
        <v>11</v>
      </c>
      <c r="F32" s="5" t="s">
        <v>4</v>
      </c>
      <c r="G32" s="5" t="s">
        <v>4</v>
      </c>
      <c r="H32" s="5" t="s">
        <v>11</v>
      </c>
      <c r="I32" s="5" t="s">
        <v>4</v>
      </c>
      <c r="J32" s="5" t="s">
        <v>11</v>
      </c>
      <c r="K32" s="5" t="s">
        <v>4</v>
      </c>
      <c r="L32" s="5" t="s">
        <v>11</v>
      </c>
      <c r="M32" s="5" t="s">
        <v>4</v>
      </c>
      <c r="N32" s="5" t="s">
        <v>5</v>
      </c>
      <c r="O32" s="6">
        <f>COUNTIF(C32:N32,"SI")/5</f>
        <v>1</v>
      </c>
    </row>
    <row r="33" spans="1:15" ht="21" customHeight="1" x14ac:dyDescent="0.2">
      <c r="A33" s="5" t="s">
        <v>33</v>
      </c>
      <c r="B33" s="5" t="s">
        <v>38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5" t="s">
        <v>4</v>
      </c>
      <c r="I33" s="5" t="s">
        <v>4</v>
      </c>
      <c r="J33" s="5" t="s">
        <v>4</v>
      </c>
      <c r="K33" s="5" t="s">
        <v>4</v>
      </c>
      <c r="L33" s="5" t="s">
        <v>4</v>
      </c>
      <c r="M33" s="5" t="s">
        <v>4</v>
      </c>
      <c r="N33" s="5" t="s">
        <v>5</v>
      </c>
      <c r="O33" s="6">
        <f>COUNTIF(C33:N33,"SI")/11</f>
        <v>1</v>
      </c>
    </row>
  </sheetData>
  <sortState xmlns:xlrd2="http://schemas.microsoft.com/office/spreadsheetml/2017/richdata2" ref="A6:O33">
    <sortCondition ref="B1:B33"/>
  </sortState>
  <mergeCells count="2">
    <mergeCell ref="A1:A2"/>
    <mergeCell ref="B1:B2"/>
  </mergeCells>
  <conditionalFormatting sqref="C3:N33">
    <cfRule type="containsText" dxfId="5" priority="1" operator="containsText" text="No aplica">
      <formula>NOT(ISERROR(SEARCH("No aplica",C3)))</formula>
    </cfRule>
    <cfRule type="containsText" dxfId="4" priority="2" operator="containsText" text="NO">
      <formula>NOT(ISERROR(SEARCH("NO",C3)))</formula>
    </cfRule>
    <cfRule type="containsText" dxfId="3" priority="3" operator="containsText" text="SI">
      <formula>NOT(ISERROR(SEARCH("SI",C3)))</formula>
    </cfRule>
  </conditionalFormatting>
  <conditionalFormatting sqref="O3:O33">
    <cfRule type="cellIs" dxfId="2" priority="7" operator="greaterThan">
      <formula>0.85</formula>
    </cfRule>
    <cfRule type="cellIs" dxfId="1" priority="8" stopIfTrue="1" operator="between">
      <formula>0.7</formula>
      <formula>0.84999</formula>
    </cfRule>
    <cfRule type="cellIs" dxfId="0" priority="9" stopIfTrue="1" operator="lessThan">
      <formula>0.69999</formula>
    </cfRule>
  </conditionalFormatting>
  <pageMargins left="0.75" right="0.75" top="1" bottom="1" header="0.5" footer="0.5"/>
  <pageSetup scale="89"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2026-06-10T18:02:56Z</dcterms:created>
  <dcterms:modified xsi:type="dcterms:W3CDTF">2026-09-30T05:22:08Z</dcterms:modified>
  <cp:category/>
  <cp:contentStatus/>
</cp:coreProperties>
</file>