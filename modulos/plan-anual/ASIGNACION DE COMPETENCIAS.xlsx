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mc:AlternateContent xmlns:mc="http://schemas.openxmlformats.org/markup-compatibility/2006">
    <mc:Choice Requires="x15">
      <x15ac:absPath xmlns:x15ac="http://schemas.microsoft.com/office/spreadsheetml/2010/11/ac" url="/Users/manu/Desktop/GAV-APP-AKC-main/modulos/plan-anual/"/>
    </mc:Choice>
  </mc:AlternateContent>
  <xr:revisionPtr revIDLastSave="63" documentId="13_ncr:1_{4681491B-5DA5-504A-8D59-CA9E43B0ABEE}" xr6:coauthVersionLast="47" xr6:coauthVersionMax="47" xr10:uidLastSave="{01BD6C6A-B252-734B-B074-4482B5C3E542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" l="1"/>
  <c r="O31" i="1"/>
  <c r="O28" i="1"/>
  <c r="O29" i="1"/>
  <c r="O30" i="1"/>
  <c r="O27" i="1"/>
  <c r="O26" i="1"/>
  <c r="O25" i="1"/>
  <c r="O24" i="1"/>
  <c r="O21" i="1"/>
  <c r="O22" i="1"/>
  <c r="O23" i="1"/>
  <c r="O20" i="1"/>
  <c r="O19" i="1"/>
  <c r="O18" i="1"/>
  <c r="O6" i="1"/>
  <c r="O7" i="1"/>
  <c r="O8" i="1"/>
  <c r="O9" i="1"/>
  <c r="O10" i="1"/>
  <c r="O11" i="1"/>
  <c r="O12" i="1"/>
  <c r="O13" i="1"/>
  <c r="O14" i="1"/>
  <c r="O15" i="1"/>
  <c r="O16" i="1"/>
  <c r="O17" i="1"/>
  <c r="O5" i="1"/>
  <c r="O32" i="1"/>
  <c r="O4" i="1"/>
  <c r="O3" i="1"/>
</calcChain>
</file>

<file path=xl/sharedStrings.xml><?xml version="1.0" encoding="utf-8"?>
<sst xmlns="http://schemas.openxmlformats.org/spreadsheetml/2006/main" count="435" uniqueCount="64">
  <si>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</si>
  <si>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</si>
  <si>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</si>
  <si>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</si>
  <si>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</si>
  <si>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</si>
  <si>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</si>
  <si>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</si>
  <si>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</si>
  <si>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</si>
  <si>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</si>
  <si>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</si>
  <si>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</si>
  <si>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</si>
  <si>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</si>
  <si>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</si>
  <si>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</si>
  <si>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</si>
  <si>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</si>
  <si>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</si>
  <si>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</si>
  <si>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</si>
  <si>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</si>
  <si>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</si>
  <si>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</si>
  <si>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</si>
  <si>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</si>
  <si>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</si>
  <si>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</si>
  <si>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</si>
  <si>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</si>
  <si>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</si>
  <si>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</si>
  <si>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</si>
  <si>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COPA ACTION GYM 26</t>
  </si>
  <si>
    <t>AGEPAC 27</t>
  </si>
  <si>
    <t>2DO SELECTIVO 27</t>
  </si>
  <si>
    <t>COPA JAIME ROMERO 27</t>
  </si>
  <si>
    <t>CAMPEONATO ESTATAL GUEM 27</t>
  </si>
  <si>
    <t>CAMPEONATO NACIONAL FMG 27</t>
  </si>
  <si>
    <t>OLIMPIADA NACIONAL 27</t>
  </si>
  <si>
    <t>10 FIG</t>
  </si>
  <si>
    <t>Isaac Rangel</t>
  </si>
  <si>
    <t>Leonardo Garcia Lazaro</t>
  </si>
  <si>
    <t>Erik Lopez</t>
  </si>
  <si>
    <t>SEDE
Tlaxcala Tlaxcala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</si>
  <si>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</si>
  <si>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</si>
  <si>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</si>
  <si>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</si>
  <si>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</si>
  <si>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</si>
  <si>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</si>
  <si>
    <t>Por definir</t>
  </si>
  <si>
    <t>CONTROL SIN JUEZ</t>
  </si>
  <si>
    <t>COPA DANIEL CORRAL 27</t>
  </si>
  <si>
    <t>SEDE
Monterrey Nuevo Leon</t>
  </si>
  <si>
    <t>COPA BENITO JUAREZ 26</t>
  </si>
  <si>
    <t>MIKULAK INVITATIONAL CUP 27</t>
  </si>
  <si>
    <t>SELECTIVO NACIONAL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</si>
</sst>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3"/>
  <sheetViews>
    <sheetView tabSelected="1" workbookViewId="0">
      <pane xSplit="2" ySplit="2" topLeftCell="J12" activePane="bottomRight" state="frozen"/>
      <selection pane="bottomLeft" activeCell="A3" sqref="A3"/>
      <selection pane="topRight" activeCell="C1" sqref="C1"/>
      <selection pane="bottomRight" activeCell="O1" sqref="O1:O1048576"/>
    </sheetView>
  </sheetViews>
  <sheetFormatPr defaultColWidth="9.01171875" defaultRowHeight="15" x14ac:dyDescent="0.2"/>
  <cols>
    <col min="1" max="1" width="18.83203125" style="1" bestFit="1" customWidth="1"/>
    <col min="2" max="2" width="10.76171875" style="1" customWidth="1"/>
    <col min="3" max="14" width="12.375" style="1" customWidth="1"/>
    <col min="15" max="15" width="15.19921875" style="1" customWidth="1"/>
    <col min="16" max="16384" width="9.01171875" style="1"/>
  </cols>
  <sheetData>
    <row r="1" spans="1:15" s="2" customFormat="1" ht="45.95" customHeight="1" x14ac:dyDescent="0.2">
      <c r="A1" s="7" t="s">
        <v>0</v>
      </c>
      <c r="B1" s="7" t="s">
        <v>1</v>
      </c>
      <c r="C1" s="3" t="s">
        <v>34</v>
      </c>
      <c r="D1" s="3" t="s">
        <v>57</v>
      </c>
      <c r="E1" s="3" t="s">
        <v>54</v>
      </c>
      <c r="F1" s="3" t="s">
        <v>58</v>
      </c>
      <c r="G1" s="3" t="s">
        <v>59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55</v>
      </c>
      <c r="M1" s="3" t="s">
        <v>39</v>
      </c>
      <c r="N1" s="3" t="s">
        <v>40</v>
      </c>
      <c r="O1" s="4" t="s">
        <v>2</v>
      </c>
    </row>
    <row r="2" spans="1:15" s="2" customFormat="1" ht="45.95" customHeight="1" x14ac:dyDescent="0.2">
      <c r="A2" s="8"/>
      <c r="B2" s="8"/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  <c r="H2" s="3" t="s">
        <v>50</v>
      </c>
      <c r="I2" s="3" t="s">
        <v>49</v>
      </c>
      <c r="J2" s="3" t="s">
        <v>51</v>
      </c>
      <c r="K2" s="3" t="s">
        <v>52</v>
      </c>
      <c r="L2" s="3" t="s">
        <v>56</v>
      </c>
      <c r="M2" s="3" t="s">
        <v>49</v>
      </c>
      <c r="N2" s="3" t="s">
        <v>49</v>
      </c>
      <c r="O2" s="4"/>
    </row>
    <row r="3" spans="1:15" ht="21" customHeight="1" x14ac:dyDescent="0.2">
      <c r="A3" s="5" t="s">
        <v>42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5</v>
      </c>
      <c r="M3" s="5" t="s">
        <v>5</v>
      </c>
      <c r="N3" s="5" t="s">
        <v>5</v>
      </c>
      <c r="O3" s="6">
        <f>COUNTIF(C3:N3,"SI")/6</f>
        <v>1</v>
      </c>
    </row>
    <row r="4" spans="1:15" ht="21" customHeight="1" x14ac:dyDescent="0.2">
      <c r="A4" s="5" t="s">
        <v>43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5</v>
      </c>
      <c r="M4" s="5" t="s">
        <v>5</v>
      </c>
      <c r="N4" s="5" t="s">
        <v>5</v>
      </c>
      <c r="O4" s="6">
        <f>COUNTIF(C4:N4,"SI")/6</f>
        <v>1</v>
      </c>
    </row>
    <row r="5" spans="1:15" ht="21" customHeight="1" x14ac:dyDescent="0.2">
      <c r="A5" s="5" t="s">
        <v>44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4</v>
      </c>
      <c r="N5" s="5" t="s">
        <v>5</v>
      </c>
      <c r="O5" s="6">
        <f>COUNTIF(C5:N5,"SI")/9</f>
        <v>1</v>
      </c>
    </row>
    <row r="6" spans="1:15" ht="21" customHeight="1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4</v>
      </c>
      <c r="N6" s="5" t="s">
        <v>5</v>
      </c>
      <c r="O6" s="6">
        <f t="shared" ref="O6:O17" si="0">COUNTIF(C6:N6,"SI")/9</f>
        <v>1</v>
      </c>
    </row>
    <row r="7" spans="1:15" ht="21" customHeight="1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4</v>
      </c>
      <c r="N7" s="5" t="s">
        <v>5</v>
      </c>
      <c r="O7" s="6">
        <f t="shared" si="0"/>
        <v>1</v>
      </c>
    </row>
    <row r="8" spans="1:15" ht="21" customHeight="1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4</v>
      </c>
      <c r="N8" s="5" t="s">
        <v>5</v>
      </c>
      <c r="O8" s="6">
        <f t="shared" si="0"/>
        <v>1</v>
      </c>
    </row>
    <row r="9" spans="1:15" ht="21" customHeight="1" x14ac:dyDescent="0.2">
      <c r="A9" s="5" t="s">
        <v>15</v>
      </c>
      <c r="B9" s="5" t="s">
        <v>53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4</v>
      </c>
      <c r="N9" s="5" t="s">
        <v>5</v>
      </c>
      <c r="O9" s="6">
        <f t="shared" si="0"/>
        <v>1</v>
      </c>
    </row>
    <row r="10" spans="1:15" ht="21" customHeight="1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4</v>
      </c>
      <c r="N10" s="5" t="s">
        <v>5</v>
      </c>
      <c r="O10" s="6">
        <f t="shared" si="0"/>
        <v>1</v>
      </c>
    </row>
    <row r="11" spans="1:15" ht="21" customHeight="1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4</v>
      </c>
      <c r="N11" s="5" t="s">
        <v>5</v>
      </c>
      <c r="O11" s="6">
        <f t="shared" si="0"/>
        <v>1</v>
      </c>
    </row>
    <row r="12" spans="1:15" ht="21" customHeight="1" x14ac:dyDescent="0.2">
      <c r="A12" s="5" t="s">
        <v>18</v>
      </c>
      <c r="B12" s="5" t="s">
        <v>53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4</v>
      </c>
      <c r="N12" s="5" t="s">
        <v>5</v>
      </c>
      <c r="O12" s="6">
        <f t="shared" si="0"/>
        <v>1</v>
      </c>
    </row>
    <row r="13" spans="1:15" ht="21" customHeight="1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4</v>
      </c>
      <c r="N13" s="5" t="s">
        <v>5</v>
      </c>
      <c r="O13" s="6">
        <f t="shared" si="0"/>
        <v>1</v>
      </c>
    </row>
    <row r="14" spans="1:15" ht="21" customHeight="1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4</v>
      </c>
      <c r="N14" s="5" t="s">
        <v>5</v>
      </c>
      <c r="O14" s="6">
        <f t="shared" si="0"/>
        <v>1</v>
      </c>
    </row>
    <row r="15" spans="1:15" ht="21" customHeight="1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4</v>
      </c>
      <c r="N15" s="5" t="s">
        <v>5</v>
      </c>
      <c r="O15" s="6">
        <f t="shared" si="0"/>
        <v>1</v>
      </c>
    </row>
    <row r="16" spans="1:15" ht="21" customHeight="1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4</v>
      </c>
      <c r="N16" s="5" t="s">
        <v>5</v>
      </c>
      <c r="O16" s="6">
        <f t="shared" si="0"/>
        <v>1</v>
      </c>
    </row>
    <row r="17" spans="1:15" ht="21" customHeight="1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4</v>
      </c>
      <c r="N17" s="5" t="s">
        <v>5</v>
      </c>
      <c r="O17" s="6">
        <f t="shared" si="0"/>
        <v>1</v>
      </c>
    </row>
    <row r="18" spans="1:15" ht="21" customHeight="1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5" t="s">
        <v>4</v>
      </c>
      <c r="O18" s="6">
        <f>COUNTIF(C18:N18,"SI")/10</f>
        <v>1</v>
      </c>
    </row>
    <row r="19" spans="1:15" ht="21" customHeight="1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4</v>
      </c>
      <c r="N19" s="5" t="s">
        <v>5</v>
      </c>
      <c r="O19" s="6">
        <f>COUNTIF(C19:N19,"SI")/9</f>
        <v>1</v>
      </c>
    </row>
    <row r="20" spans="1:15" ht="21" customHeight="1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5" t="s">
        <v>4</v>
      </c>
      <c r="O20" s="6">
        <f>COUNTIF(C20:N20,"SI")/10</f>
        <v>1</v>
      </c>
    </row>
    <row r="21" spans="1:15" ht="21" customHeight="1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5" t="s">
        <v>4</v>
      </c>
      <c r="O21" s="6">
        <f t="shared" ref="O21:O23" si="1">COUNTIF(C21:N21,"SI")/10</f>
        <v>1</v>
      </c>
    </row>
    <row r="22" spans="1:15" ht="21" customHeight="1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5" t="s">
        <v>4</v>
      </c>
      <c r="O22" s="6">
        <f t="shared" si="1"/>
        <v>1</v>
      </c>
    </row>
    <row r="23" spans="1:15" ht="21" customHeight="1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5" t="s">
        <v>4</v>
      </c>
      <c r="O23" s="6">
        <f t="shared" si="1"/>
        <v>1</v>
      </c>
    </row>
    <row r="24" spans="1:15" ht="21" customHeight="1" x14ac:dyDescent="0.2">
      <c r="A24" s="5" t="s">
        <v>9</v>
      </c>
      <c r="B24" s="5">
        <v>9</v>
      </c>
      <c r="C24" s="5" t="s">
        <v>4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5" t="s">
        <v>4</v>
      </c>
      <c r="O24" s="6">
        <f>COUNTIF(C24:N24,"SI")/12</f>
        <v>1</v>
      </c>
    </row>
    <row r="25" spans="1:15" ht="21" customHeight="1" x14ac:dyDescent="0.2">
      <c r="A25" s="5" t="s">
        <v>23</v>
      </c>
      <c r="B25" s="5">
        <v>9</v>
      </c>
      <c r="C25" s="5" t="s">
        <v>4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4</v>
      </c>
      <c r="N25" s="5" t="s">
        <v>5</v>
      </c>
      <c r="O25" s="6">
        <f>COUNTIF(C25:N25,"SI")/11</f>
        <v>1</v>
      </c>
    </row>
    <row r="26" spans="1:15" ht="21" customHeight="1" x14ac:dyDescent="0.2">
      <c r="A26" s="5" t="s">
        <v>14</v>
      </c>
      <c r="B26" s="5">
        <v>9</v>
      </c>
      <c r="C26" s="5" t="s">
        <v>4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5" t="s">
        <v>4</v>
      </c>
      <c r="O26" s="6">
        <f>COUNTIF(C26:N26,"SI")/10</f>
        <v>1</v>
      </c>
    </row>
    <row r="27" spans="1:15" ht="21" customHeight="1" x14ac:dyDescent="0.2">
      <c r="A27" s="5" t="s">
        <v>28</v>
      </c>
      <c r="B27" s="5">
        <v>9</v>
      </c>
      <c r="C27" s="5" t="s">
        <v>4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5" t="s">
        <v>4</v>
      </c>
      <c r="O27" s="6">
        <f>COUNTIF(C27:N27,"SI")/12</f>
        <v>1</v>
      </c>
    </row>
    <row r="28" spans="1:15" ht="21" customHeight="1" x14ac:dyDescent="0.2">
      <c r="A28" s="5" t="s">
        <v>29</v>
      </c>
      <c r="B28" s="5">
        <v>9</v>
      </c>
      <c r="C28" s="5" t="s">
        <v>4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5" t="s">
        <v>4</v>
      </c>
      <c r="O28" s="6">
        <f t="shared" ref="O28:O30" si="2">COUNTIF(C28:N28,"SI")/12</f>
        <v>1</v>
      </c>
    </row>
    <row r="29" spans="1:15" ht="21" customHeight="1" x14ac:dyDescent="0.2">
      <c r="A29" s="5" t="s">
        <v>10</v>
      </c>
      <c r="B29" s="5">
        <v>10</v>
      </c>
      <c r="C29" s="5" t="s">
        <v>4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5" t="s">
        <v>4</v>
      </c>
      <c r="O29" s="6">
        <f t="shared" si="2"/>
        <v>1</v>
      </c>
    </row>
    <row r="30" spans="1:15" ht="21" customHeight="1" x14ac:dyDescent="0.2">
      <c r="A30" s="5" t="s">
        <v>12</v>
      </c>
      <c r="B30" s="5">
        <v>10</v>
      </c>
      <c r="C30" s="5" t="s">
        <v>4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5" t="s">
        <v>4</v>
      </c>
      <c r="O30" s="6">
        <f t="shared" si="2"/>
        <v>1</v>
      </c>
    </row>
    <row r="31" spans="1:15" ht="21" customHeight="1" x14ac:dyDescent="0.2">
      <c r="A31" s="5" t="s">
        <v>24</v>
      </c>
      <c r="B31" s="5" t="s">
        <v>41</v>
      </c>
      <c r="C31" s="5" t="s">
        <v>4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4</v>
      </c>
      <c r="N31" s="5" t="s">
        <v>5</v>
      </c>
      <c r="O31" s="6">
        <f>COUNTIF(C31:N31,"SI")/11</f>
        <v>1</v>
      </c>
    </row>
    <row r="32" spans="1:15" ht="21" customHeight="1" x14ac:dyDescent="0.2">
      <c r="A32" s="5" t="s">
        <v>32</v>
      </c>
      <c r="B32" s="5" t="s">
        <v>41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11</v>
      </c>
      <c r="M32" s="5" t="s">
        <v>4</v>
      </c>
      <c r="N32" s="5" t="s">
        <v>5</v>
      </c>
      <c r="O32" s="6">
        <f>COUNTIF(C32:N32,"SI")/5</f>
        <v>1</v>
      </c>
    </row>
    <row r="33" spans="1:15" ht="21" customHeight="1" x14ac:dyDescent="0.2">
      <c r="A33" s="5" t="s">
        <v>33</v>
      </c>
      <c r="B33" s="5" t="s">
        <v>41</v>
      </c>
      <c r="C33" s="5" t="s">
        <v>4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4</v>
      </c>
      <c r="N33" s="5" t="s">
        <v>5</v>
      </c>
      <c r="O33" s="6">
        <f>COUNTIF(C33:N33,"SI")/11</f>
        <v>1</v>
      </c>
    </row>
  </sheetData>
  <sortState xmlns:xlrd2="http://schemas.microsoft.com/office/spreadsheetml/2017/richdata2" ref="A6:O33">
    <sortCondition ref="B1:B33"/>
  </sortState>
  <mergeCells count="2">
    <mergeCell ref="A1:A2"/>
    <mergeCell ref="B1:B2"/>
  </mergeCells>
  <conditionalFormatting sqref="C3:N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O3:O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2026-09-30T05:22:08Z</dcterms:modified>
  <cp:category/>
  <cp:contentStatus/>
</cp:coreProperties>
</file>