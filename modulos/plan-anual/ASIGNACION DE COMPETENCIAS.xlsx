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https://d.docs.live.net/55b6a939d4276db6/INFORMES AKC/CICLO 26-27/"/>
    </mc:Choice>
  </mc:AlternateContent>
  <xr:revisionPtr revIDLastSave="99" documentId="8_{FE88551D-BD51-364E-8A4D-797DCEB10DF9}" xr6:coauthVersionLast="47" xr6:coauthVersionMax="47" xr10:uidLastSave="{1C65B4E0-2469-AC45-92ED-E921C8E8F04B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2" i="1"/>
  <c r="N3" i="1"/>
  <c r="N20" i="1"/>
  <c r="N32" i="1"/>
  <c r="N31" i="1"/>
  <c r="N29" i="1"/>
  <c r="N30" i="1"/>
  <c r="N28" i="1"/>
  <c r="N26" i="1"/>
  <c r="N27" i="1"/>
  <c r="N25" i="1"/>
  <c r="N8" i="1"/>
  <c r="N14" i="1"/>
  <c r="N6" i="1"/>
  <c r="N9" i="1"/>
  <c r="N10" i="1"/>
  <c r="N11" i="1"/>
  <c r="N15" i="1"/>
  <c r="N12" i="1"/>
  <c r="N13" i="1"/>
  <c r="N7" i="1"/>
  <c r="N18" i="1"/>
  <c r="N17" i="1"/>
  <c r="N19" i="1"/>
  <c r="N16" i="1"/>
  <c r="N21" i="1"/>
  <c r="N22" i="1"/>
  <c r="N23" i="1"/>
  <c r="N24" i="1"/>
  <c r="N5" i="1"/>
</calcChain>
</file>

<file path=xl/sharedStrings.xml><?xml version="1.0" encoding="utf-8"?>
<sst xmlns="http://schemas.openxmlformats.org/spreadsheetml/2006/main" count="389" uniqueCount="49">
  <si>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</si>
  <si>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</si>
  <si>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</si>
  <si>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</si>
  <si>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</si>
  <si>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</si>
  <si>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</si>
  <si>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</si>
  <si>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</si>
  <si>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</si>
  <si>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</si>
  <si>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</si>
  <si>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</si>
  <si>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</si>
  <si>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</si>
  <si>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</si>
  <si>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</si>
  <si>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</si>
  <si>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</si>
  <si>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</si>
  <si>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</si>
  <si>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</si>
  <si>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</si>
  <si>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</si>
  <si>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</si>
  <si>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</si>
  <si>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</si>
  <si>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</si>
  <si>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</si>
  <si>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</si>
  <si>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</si>
  <si>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</si>
  <si>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</si>
  <si>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</si>
  <si>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ACTION GYM 26</t>
  </si>
  <si>
    <t>COPA BENITO JUAREZ 2</t>
  </si>
  <si>
    <t>CTRL DE ENERO</t>
  </si>
  <si>
    <t>MIKULAK INVITATIONAL CUP 2027</t>
  </si>
  <si>
    <t>SELECTIVO NACIONAL 2027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</si>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</sst>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1" sqref="C1:M1048576"/>
    </sheetView>
  </sheetViews>
  <sheetFormatPr baseColWidth="10" defaultColWidth="9" defaultRowHeight="15" x14ac:dyDescent="0.2"/>
  <cols>
    <col min="1" max="1" width="18.83203125" style="1" bestFit="1" customWidth="1"/>
    <col min="2" max="2" width="5.1640625" style="1" bestFit="1" customWidth="1"/>
    <col min="3" max="13" width="12.33203125" style="1" customWidth="1"/>
    <col min="14" max="14" width="12.83203125" style="1" bestFit="1" customWidth="1"/>
    <col min="15" max="16384" width="9" style="1"/>
  </cols>
  <sheetData>
    <row r="1" spans="1:14" s="2" customFormat="1" ht="46" customHeight="1" x14ac:dyDescent="0.2">
      <c r="A1" s="3" t="s">
        <v>0</v>
      </c>
      <c r="B1" s="3" t="s">
        <v>1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4" t="s">
        <v>2</v>
      </c>
    </row>
    <row r="2" spans="1:14" x14ac:dyDescent="0.2">
      <c r="A2" s="5" t="s">
        <v>46</v>
      </c>
      <c r="B2" s="5">
        <v>3</v>
      </c>
      <c r="C2" s="5" t="s">
        <v>4</v>
      </c>
      <c r="D2" s="5" t="s">
        <v>4</v>
      </c>
      <c r="E2" s="5" t="s">
        <v>4</v>
      </c>
      <c r="F2" s="5" t="s">
        <v>4</v>
      </c>
      <c r="G2" s="5" t="s">
        <v>5</v>
      </c>
      <c r="H2" s="5" t="s">
        <v>4</v>
      </c>
      <c r="I2" s="5" t="s">
        <v>5</v>
      </c>
      <c r="J2" s="5" t="s">
        <v>4</v>
      </c>
      <c r="K2" s="5" t="s">
        <v>5</v>
      </c>
      <c r="L2" s="5" t="s">
        <v>5</v>
      </c>
      <c r="M2" s="5" t="s">
        <v>5</v>
      </c>
      <c r="N2" s="6">
        <f>COUNTIF(C2:M2,"SI")/7</f>
        <v>0.8571428571428571</v>
      </c>
    </row>
    <row r="3" spans="1:14" x14ac:dyDescent="0.2">
      <c r="A3" s="5" t="s">
        <v>47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5</v>
      </c>
      <c r="M3" s="5" t="s">
        <v>5</v>
      </c>
      <c r="N3" s="6">
        <f>COUNTIF(C3:M3,"SI")/7</f>
        <v>0.8571428571428571</v>
      </c>
    </row>
    <row r="4" spans="1:14" x14ac:dyDescent="0.2">
      <c r="A4" s="5" t="s">
        <v>48</v>
      </c>
      <c r="B4" s="5">
        <v>4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4</v>
      </c>
      <c r="L4" s="5" t="s">
        <v>4</v>
      </c>
      <c r="M4" s="5" t="s">
        <v>5</v>
      </c>
      <c r="N4" s="6">
        <f>COUNTIF(C4:M4,"SI")/7</f>
        <v>1.1428571428571428</v>
      </c>
    </row>
    <row r="5" spans="1:14" x14ac:dyDescent="0.2">
      <c r="A5" s="5" t="s">
        <v>3</v>
      </c>
      <c r="B5" s="5">
        <v>5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5</v>
      </c>
      <c r="N5" s="6">
        <f>COUNTIF(C5:M5,"SI")/7</f>
        <v>1.1428571428571428</v>
      </c>
    </row>
    <row r="6" spans="1:14" x14ac:dyDescent="0.2">
      <c r="A6" s="5" t="s">
        <v>6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5</v>
      </c>
      <c r="N6" s="6">
        <f>COUNTIF(C6:M6,"SI")/7</f>
        <v>1.1428571428571428</v>
      </c>
    </row>
    <row r="7" spans="1:14" x14ac:dyDescent="0.2">
      <c r="A7" s="5" t="s">
        <v>7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5</v>
      </c>
      <c r="N7" s="6">
        <f>COUNTIF(C7:M7,"SI")/7</f>
        <v>1.1428571428571428</v>
      </c>
    </row>
    <row r="8" spans="1:14" x14ac:dyDescent="0.2">
      <c r="A8" s="5" t="s">
        <v>15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5</v>
      </c>
      <c r="N8" s="6">
        <f>COUNTIF(C8:M8,"SI")/7</f>
        <v>1.1428571428571428</v>
      </c>
    </row>
    <row r="9" spans="1:14" x14ac:dyDescent="0.2">
      <c r="A9" s="5" t="s">
        <v>16</v>
      </c>
      <c r="B9" s="5">
        <v>5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5</v>
      </c>
      <c r="N9" s="6">
        <f>COUNTIF(C9:M9,"SI")/7</f>
        <v>1.1428571428571428</v>
      </c>
    </row>
    <row r="10" spans="1:14" x14ac:dyDescent="0.2">
      <c r="A10" s="5" t="s">
        <v>17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5</v>
      </c>
      <c r="N10" s="6">
        <f>COUNTIF(C10:M10,"SI")/7</f>
        <v>1.1428571428571428</v>
      </c>
    </row>
    <row r="11" spans="1:14" x14ac:dyDescent="0.2">
      <c r="A11" s="5" t="s">
        <v>18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5</v>
      </c>
      <c r="N11" s="6">
        <f>COUNTIF(C11:M11,"SI")/7</f>
        <v>1.1428571428571428</v>
      </c>
    </row>
    <row r="12" spans="1:14" x14ac:dyDescent="0.2">
      <c r="A12" s="5" t="s">
        <v>19</v>
      </c>
      <c r="B12" s="5">
        <v>5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5</v>
      </c>
      <c r="N12" s="6">
        <f>COUNTIF(C12:M12,"SI")/7</f>
        <v>1.1428571428571428</v>
      </c>
    </row>
    <row r="13" spans="1:14" x14ac:dyDescent="0.2">
      <c r="A13" s="5" t="s">
        <v>20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5</v>
      </c>
      <c r="N13" s="6">
        <f>COUNTIF(C13:M13,"SI")/7</f>
        <v>1.1428571428571428</v>
      </c>
    </row>
    <row r="14" spans="1:14" x14ac:dyDescent="0.2">
      <c r="A14" s="5" t="s">
        <v>25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5</v>
      </c>
      <c r="N14" s="6">
        <f>COUNTIF(C14:M14,"SI")/7</f>
        <v>1.1428571428571428</v>
      </c>
    </row>
    <row r="15" spans="1:14" x14ac:dyDescent="0.2">
      <c r="A15" s="5" t="s">
        <v>30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5</v>
      </c>
      <c r="N15" s="6">
        <f>COUNTIF(C15:M15,"SI")/7</f>
        <v>1.1428571428571428</v>
      </c>
    </row>
    <row r="16" spans="1:14" x14ac:dyDescent="0.2">
      <c r="A16" s="5" t="s">
        <v>26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5</v>
      </c>
      <c r="N16" s="6">
        <f>COUNTIF(C16:M16,"SI")/7</f>
        <v>1.1428571428571428</v>
      </c>
    </row>
    <row r="17" spans="1:14" x14ac:dyDescent="0.2">
      <c r="A17" s="5" t="s">
        <v>22</v>
      </c>
      <c r="B17" s="5">
        <v>6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6">
        <f>COUNTIF(C17:M17,"SI")/7</f>
        <v>1.2857142857142858</v>
      </c>
    </row>
    <row r="18" spans="1:14" x14ac:dyDescent="0.2">
      <c r="A18" s="5" t="s">
        <v>21</v>
      </c>
      <c r="B18" s="5">
        <v>7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5</v>
      </c>
      <c r="N18" s="6">
        <f>COUNTIF(C18:M18,"SI")/7</f>
        <v>1.1428571428571428</v>
      </c>
    </row>
    <row r="19" spans="1:14" x14ac:dyDescent="0.2">
      <c r="A19" s="5" t="s">
        <v>8</v>
      </c>
      <c r="B19" s="5">
        <v>8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6">
        <f>COUNTIF(C19:M19,"SI")/7</f>
        <v>1.2857142857142858</v>
      </c>
    </row>
    <row r="20" spans="1:14" x14ac:dyDescent="0.2">
      <c r="A20" s="5" t="s">
        <v>13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6">
        <f>COUNTIF(C20:M20,"SI")/8</f>
        <v>1.125</v>
      </c>
    </row>
    <row r="21" spans="1:14" x14ac:dyDescent="0.2">
      <c r="A21" s="5" t="s">
        <v>27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6">
        <f>COUNTIF(C21:M21,"SI")/7</f>
        <v>1.2857142857142858</v>
      </c>
    </row>
    <row r="22" spans="1:14" x14ac:dyDescent="0.2">
      <c r="A22" s="5" t="s">
        <v>31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6">
        <f>COUNTIF(C22:M22,"SI")/7</f>
        <v>1.2857142857142858</v>
      </c>
    </row>
    <row r="23" spans="1:14" x14ac:dyDescent="0.2">
      <c r="A23" s="5" t="s">
        <v>9</v>
      </c>
      <c r="B23" s="5">
        <v>9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4</v>
      </c>
      <c r="H23" s="5" t="s">
        <v>4</v>
      </c>
      <c r="I23" s="5" t="s">
        <v>4</v>
      </c>
      <c r="J23" s="5" t="s">
        <v>4</v>
      </c>
      <c r="K23" s="5" t="s">
        <v>4</v>
      </c>
      <c r="L23" s="5" t="s">
        <v>4</v>
      </c>
      <c r="M23" s="5" t="s">
        <v>4</v>
      </c>
      <c r="N23" s="6">
        <f>COUNTIF(C23:M23,"SI")/7</f>
        <v>1.5714285714285714</v>
      </c>
    </row>
    <row r="24" spans="1:14" x14ac:dyDescent="0.2">
      <c r="A24" s="5" t="s">
        <v>23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5</v>
      </c>
      <c r="N24" s="6">
        <f>COUNTIF(C24:M24,"SI")/7</f>
        <v>1.4285714285714286</v>
      </c>
    </row>
    <row r="25" spans="1:14" x14ac:dyDescent="0.2">
      <c r="A25" s="5" t="s">
        <v>14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5</v>
      </c>
      <c r="H25" s="5" t="s">
        <v>4</v>
      </c>
      <c r="I25" s="5" t="s">
        <v>5</v>
      </c>
      <c r="J25" s="5" t="s">
        <v>4</v>
      </c>
      <c r="K25" s="5" t="s">
        <v>4</v>
      </c>
      <c r="L25" s="5" t="s">
        <v>4</v>
      </c>
      <c r="M25" s="5" t="s">
        <v>4</v>
      </c>
      <c r="N25" s="6">
        <f>COUNTIF(C25:M25,"SI")/8</f>
        <v>1.125</v>
      </c>
    </row>
    <row r="26" spans="1:14" x14ac:dyDescent="0.2">
      <c r="A26" s="5" t="s">
        <v>28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4</v>
      </c>
      <c r="H26" s="5" t="s">
        <v>4</v>
      </c>
      <c r="I26" s="5" t="s">
        <v>4</v>
      </c>
      <c r="J26" s="5" t="s">
        <v>4</v>
      </c>
      <c r="K26" s="5" t="s">
        <v>4</v>
      </c>
      <c r="L26" s="5" t="s">
        <v>4</v>
      </c>
      <c r="M26" s="5" t="s">
        <v>4</v>
      </c>
      <c r="N26" s="6">
        <f>COUNTIF(C26:M26,"SI")/8</f>
        <v>1.375</v>
      </c>
    </row>
    <row r="27" spans="1:14" x14ac:dyDescent="0.2">
      <c r="A27" s="5" t="s">
        <v>29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6">
        <f>COUNTIF(C27:M27,"SI")/8</f>
        <v>1.375</v>
      </c>
    </row>
    <row r="28" spans="1:14" x14ac:dyDescent="0.2">
      <c r="A28" s="5" t="s">
        <v>10</v>
      </c>
      <c r="B28" s="5">
        <v>10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6">
        <f>COUNTIF(C28:M28,"SI")/10</f>
        <v>1.1000000000000001</v>
      </c>
    </row>
    <row r="29" spans="1:14" x14ac:dyDescent="0.2">
      <c r="A29" s="5" t="s">
        <v>12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6">
        <f>COUNTIF(C29:M29,"SI")/10</f>
        <v>1.1000000000000001</v>
      </c>
    </row>
    <row r="30" spans="1:14" x14ac:dyDescent="0.2">
      <c r="A30" s="5" t="s">
        <v>24</v>
      </c>
      <c r="B30" s="5" t="s">
        <v>45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5</v>
      </c>
      <c r="N30" s="6">
        <f>COUNTIF(C30:M30,"SI")/10</f>
        <v>1</v>
      </c>
    </row>
    <row r="31" spans="1:14" x14ac:dyDescent="0.2">
      <c r="A31" s="5" t="s">
        <v>32</v>
      </c>
      <c r="B31" s="5" t="s">
        <v>45</v>
      </c>
      <c r="C31" s="5" t="s">
        <v>11</v>
      </c>
      <c r="D31" s="5" t="s">
        <v>11</v>
      </c>
      <c r="E31" s="5" t="s">
        <v>11</v>
      </c>
      <c r="F31" s="5" t="s">
        <v>4</v>
      </c>
      <c r="G31" s="5" t="s">
        <v>4</v>
      </c>
      <c r="H31" s="5" t="s">
        <v>11</v>
      </c>
      <c r="I31" s="5" t="s">
        <v>4</v>
      </c>
      <c r="J31" s="5" t="s">
        <v>11</v>
      </c>
      <c r="K31" s="5" t="s">
        <v>4</v>
      </c>
      <c r="L31" s="5" t="s">
        <v>4</v>
      </c>
      <c r="M31" s="5" t="s">
        <v>5</v>
      </c>
      <c r="N31" s="6">
        <f>COUNTIF(C31:M31,"SI")/9</f>
        <v>0.55555555555555558</v>
      </c>
    </row>
    <row r="32" spans="1:14" x14ac:dyDescent="0.2">
      <c r="A32" s="5" t="s">
        <v>33</v>
      </c>
      <c r="B32" s="5" t="s">
        <v>45</v>
      </c>
      <c r="C32" s="5" t="s">
        <v>4</v>
      </c>
      <c r="D32" s="5" t="s">
        <v>4</v>
      </c>
      <c r="E32" s="5" t="s">
        <v>4</v>
      </c>
      <c r="F32" s="5" t="s">
        <v>4</v>
      </c>
      <c r="G32" s="5" t="s">
        <v>4</v>
      </c>
      <c r="H32" s="5" t="s">
        <v>4</v>
      </c>
      <c r="I32" s="5" t="s">
        <v>4</v>
      </c>
      <c r="J32" s="5" t="s">
        <v>4</v>
      </c>
      <c r="K32" s="5" t="s">
        <v>4</v>
      </c>
      <c r="L32" s="5" t="s">
        <v>4</v>
      </c>
      <c r="M32" s="5" t="s">
        <v>5</v>
      </c>
      <c r="N32" s="6">
        <f>COUNTIF(C32:M32,"SI")/9</f>
        <v>1.1111111111111112</v>
      </c>
    </row>
  </sheetData>
  <sortState xmlns:xlrd2="http://schemas.microsoft.com/office/spreadsheetml/2017/richdata2" ref="A5:N32">
    <sortCondition ref="B1:B32"/>
  </sortState>
  <conditionalFormatting sqref="C5:M32">
    <cfRule type="containsText" dxfId="11" priority="10" operator="containsText" text="No aplica">
      <formula>NOT(ISERROR(SEARCH("No aplica",C5)))</formula>
    </cfRule>
    <cfRule type="containsText" dxfId="10" priority="11" operator="containsText" text="NO">
      <formula>NOT(ISERROR(SEARCH("NO",C5)))</formula>
    </cfRule>
    <cfRule type="containsText" dxfId="9" priority="12" operator="containsText" text="SI">
      <formula>NOT(ISERROR(SEARCH("SI",C5)))</formula>
    </cfRule>
  </conditionalFormatting>
  <conditionalFormatting sqref="N2:N32">
    <cfRule type="cellIs" dxfId="8" priority="7" operator="greaterThan">
      <formula>0.85</formula>
    </cfRule>
    <cfRule type="cellIs" dxfId="7" priority="8" stopIfTrue="1" operator="between">
      <formula>0.7</formula>
      <formula>0.84999</formula>
    </cfRule>
    <cfRule type="cellIs" dxfId="6" priority="9" stopIfTrue="1" operator="lessThan">
      <formula>0.69999</formula>
    </cfRule>
  </conditionalFormatting>
  <conditionalFormatting sqref="C3:M4">
    <cfRule type="containsText" dxfId="5" priority="4" operator="containsText" text="No aplica">
      <formula>NOT(ISERROR(SEARCH("No aplica",C3)))</formula>
    </cfRule>
    <cfRule type="containsText" dxfId="4" priority="5" operator="containsText" text="NO">
      <formula>NOT(ISERROR(SEARCH("NO",C3)))</formula>
    </cfRule>
    <cfRule type="containsText" dxfId="3" priority="6" operator="containsText" text="SI">
      <formula>NOT(ISERROR(SEARCH("SI",C3)))</formula>
    </cfRule>
  </conditionalFormatting>
  <conditionalFormatting sqref="C2:M2">
    <cfRule type="containsText" dxfId="2" priority="1" operator="containsText" text="No aplica">
      <formula>NOT(ISERROR(SEARCH("No aplica",C2)))</formula>
    </cfRule>
    <cfRule type="containsText" dxfId="1" priority="2" operator="containsText" text="NO">
      <formula>NOT(ISERROR(SEARCH("NO",C2)))</formula>
    </cfRule>
    <cfRule type="containsText" dxfId="0" priority="3" operator="containsText" text="SI">
      <formula>NOT(ISERROR(SEARCH("SI",C2)))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2026-09-30T05:05:44Z</dcterms:modified>
  <cp:category/>
  <cp:contentStatus/>
</cp:coreProperties>
</file>