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3"/>
  <workbookPr/>
  <mc:AlternateContent xmlns:mc="http://schemas.openxmlformats.org/markup-compatibility/2006">
    <mc:Choice Requires="x15">
      <x15ac:absPath xmlns:x15ac="http://schemas.microsoft.com/office/spreadsheetml/2010/11/ac" url="/Users/manu/Desktop/GAV-APP-AKC-main/modulos/plan-anual/"/>
    </mc:Choice>
  </mc:AlternateContent>
  <xr:revisionPtr revIDLastSave="37" documentId="13_ncr:1_{4681491B-5DA5-504A-8D59-CA9E43B0ABEE}" xr6:coauthVersionLast="47" xr6:coauthVersionMax="47" xr10:uidLastSave="{FC171D10-4A71-954B-982F-549CB9B1F0FA}"/>
  <bookViews>
    <workbookView xWindow="0" yWindow="500" windowWidth="33600" windowHeight="20500" xr2:uid="{00000000-000D-0000-FFFF-FFFF00000000}"/>
  </bookViews>
  <sheets>
    <sheet name="Sheet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33" i="1" l="1"/>
  <c r="N32" i="1"/>
  <c r="N30" i="1"/>
  <c r="N29" i="1"/>
  <c r="N28" i="1"/>
  <c r="N21" i="1"/>
  <c r="N27" i="1"/>
  <c r="N26" i="1"/>
  <c r="N25" i="1"/>
  <c r="N24" i="1"/>
  <c r="N23" i="1"/>
  <c r="N22" i="1"/>
  <c r="N20" i="1"/>
  <c r="N19" i="1"/>
  <c r="N18" i="1"/>
  <c r="N17" i="1"/>
  <c r="N16" i="1"/>
  <c r="N15" i="1"/>
  <c r="N14" i="1"/>
  <c r="N13" i="1"/>
  <c r="N12" i="1"/>
  <c r="N11" i="1"/>
  <c r="N10" i="1"/>
  <c r="N9" i="1"/>
  <c r="N8" i="1"/>
  <c r="N7" i="1"/>
  <c r="N6" i="1"/>
  <c r="N5" i="1"/>
  <c r="N4" i="1"/>
  <c r="N3" i="1"/>
  <c r="N31" i="1"/>
</calcChain>
</file>

<file path=xl/sharedStrings.xml><?xml version="1.0" encoding="utf-8"?>
<sst xmlns="http://schemas.openxmlformats.org/spreadsheetml/2006/main" count="402" uniqueCount="58">
  <si>
    <t>Atleta</t>
  </si>
  <si>
    <t>Nivel</t>
  </si>
  <si>
    <t>PARTICIPACION</t>
  </si>
  <si>
    <t>Santiago Camacho</t>
  </si>
  <si>
    <t>SI</t>
  </si>
  <si>
    <t>No aplica</t>
  </si>
  <si>
    <t>Leonardo Camacho</t>
  </si>
  <si>
    <t>Mauro Regand</t>
  </si>
  <si>
    <t>Nicolás Capitanacci</t>
  </si>
  <si>
    <t>Yerik Guerra</t>
  </si>
  <si>
    <t>Mikel Larrinua</t>
  </si>
  <si>
    <t>NO</t>
  </si>
  <si>
    <t>Alonso Ahedo</t>
  </si>
  <si>
    <t>Mario Bisteni</t>
  </si>
  <si>
    <t>Diego Vela</t>
  </si>
  <si>
    <t>David Rangel</t>
  </si>
  <si>
    <t>Nicolás Flores</t>
  </si>
  <si>
    <t>Diego Cuevas</t>
  </si>
  <si>
    <t>Carlos Aznar</t>
  </si>
  <si>
    <t>Alfredo Jacobo</t>
  </si>
  <si>
    <t>José María Robles</t>
  </si>
  <si>
    <t>Diego Chávez</t>
  </si>
  <si>
    <t>Bruno Jacobo</t>
  </si>
  <si>
    <t>Fernando Talavera</t>
  </si>
  <si>
    <t>Ricardo Jiménez</t>
  </si>
  <si>
    <t>Emiliano González</t>
  </si>
  <si>
    <t>Brittán Robles</t>
  </si>
  <si>
    <t>Santiago Sigler</t>
  </si>
  <si>
    <t>Isaac Martínez</t>
  </si>
  <si>
    <t>Diego Rodríguez</t>
  </si>
  <si>
    <t>Bruno Báez</t>
  </si>
  <si>
    <t>Maximiliano Díaz</t>
  </si>
  <si>
    <t>Pablo Mares</t>
  </si>
  <si>
    <t>Diego Jaime</t>
  </si>
  <si>
    <t>COPA ACTION GYM 26</t>
  </si>
  <si>
    <t>COPA BENITO JUAREZ 2</t>
  </si>
  <si>
    <t>CTRL DE ENERO</t>
  </si>
  <si>
    <t>MIKULAK INVITATIONAL CUP 2027</t>
  </si>
  <si>
    <t>SELECTIVO NACIONAL 2027</t>
  </si>
  <si>
    <t>AGEPAC 27</t>
  </si>
  <si>
    <t>2DO SELECTIVO 27</t>
  </si>
  <si>
    <t>COPA JAIME ROMERO 27</t>
  </si>
  <si>
    <t>CAMPEONATO ESTATAL GUEM 27</t>
  </si>
  <si>
    <t>CAMPEONATO NACIONAL FMG 27</t>
  </si>
  <si>
    <t>OLIMPIADA NACIONAL 27</t>
  </si>
  <si>
    <t>10 FIG</t>
  </si>
  <si>
    <t>Isaac Rangel</t>
  </si>
  <si>
    <t>Leonardo Garcia Lazaro</t>
  </si>
  <si>
    <t>Erik Lopez</t>
  </si>
  <si>
    <t>SEDE
Tlaxcala Tlaxcala</t>
  </si>
  <si>
    <t>SEDE
CDMX</t>
  </si>
  <si>
    <t>SEDE
KIDS CENTER</t>
  </si>
  <si>
    <t>SEDE
Sarasota Florida</t>
  </si>
  <si>
    <t>SEDE
Por definir</t>
  </si>
  <si>
    <t>SEDE
Puebla Puebla</t>
  </si>
  <si>
    <t>SEDE
Guadalajara Jalisco</t>
  </si>
  <si>
    <t>SEDE
Estado de Mexico</t>
  </si>
  <si>
    <t>Por definir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</si>
</sst>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9" fontId="0" fillId="0" borderId="1" xfId="1" applyFont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</cellXfs>
  <cellStyles count="2">
    <cellStyle name="Normal" xfId="0" builtinId="0"/>
    <cellStyle name="Porcentaje" xfId="1" builtinId="5"/>
  </cellStyles>
  <dxfs count="6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theme="7" tint="0.3999450666829432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 /><Relationship Id="rId2" Type="http://schemas.openxmlformats.org/officeDocument/2006/relationships/theme" Target="theme/theme1.xml" /><Relationship Id="rId1" Type="http://schemas.openxmlformats.org/officeDocument/2006/relationships/worksheet" Target="worksheets/sheet1.xml" /><Relationship Id="rId5" Type="http://schemas.openxmlformats.org/officeDocument/2006/relationships/calcChain" Target="calcChain.xml" /><Relationship Id="rId4" Type="http://schemas.openxmlformats.org/officeDocument/2006/relationships/sharedStrings" Target="sharedStrings.xml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N33"/>
  <sheetViews>
    <sheetView tabSelected="1" workbookViewId="0">
      <pane xSplit="2" ySplit="2" topLeftCell="C3" activePane="bottomRight" state="frozen"/>
      <selection pane="bottomLeft" activeCell="A3" sqref="A3"/>
      <selection pane="topRight" activeCell="C1" sqref="C1"/>
      <selection pane="bottomRight" activeCell="G43" sqref="G43"/>
    </sheetView>
  </sheetViews>
  <sheetFormatPr defaultColWidth="9.01171875" defaultRowHeight="15" x14ac:dyDescent="0.2"/>
  <cols>
    <col min="1" max="1" width="18.83203125" style="1" bestFit="1" customWidth="1"/>
    <col min="2" max="2" width="10.76171875" style="1" customWidth="1"/>
    <col min="3" max="13" width="12.375" style="1" customWidth="1"/>
    <col min="14" max="14" width="12.77734375" style="1" bestFit="1" customWidth="1"/>
    <col min="15" max="16384" width="9.01171875" style="1"/>
  </cols>
  <sheetData>
    <row r="1" spans="1:14" s="2" customFormat="1" ht="45.95" customHeight="1" x14ac:dyDescent="0.2">
      <c r="A1" s="7" t="s">
        <v>0</v>
      </c>
      <c r="B1" s="7" t="s">
        <v>1</v>
      </c>
      <c r="C1" s="3" t="s">
        <v>34</v>
      </c>
      <c r="D1" s="3" t="s">
        <v>35</v>
      </c>
      <c r="E1" s="3" t="s">
        <v>36</v>
      </c>
      <c r="F1" s="3" t="s">
        <v>37</v>
      </c>
      <c r="G1" s="3" t="s">
        <v>38</v>
      </c>
      <c r="H1" s="3" t="s">
        <v>39</v>
      </c>
      <c r="I1" s="3" t="s">
        <v>40</v>
      </c>
      <c r="J1" s="3" t="s">
        <v>41</v>
      </c>
      <c r="K1" s="3" t="s">
        <v>42</v>
      </c>
      <c r="L1" s="3" t="s">
        <v>43</v>
      </c>
      <c r="M1" s="3" t="s">
        <v>44</v>
      </c>
      <c r="N1" s="4" t="s">
        <v>2</v>
      </c>
    </row>
    <row r="2" spans="1:14" s="2" customFormat="1" ht="45.95" customHeight="1" x14ac:dyDescent="0.2">
      <c r="A2" s="8"/>
      <c r="B2" s="8"/>
      <c r="C2" s="3" t="s">
        <v>49</v>
      </c>
      <c r="D2" s="3" t="s">
        <v>50</v>
      </c>
      <c r="E2" s="3" t="s">
        <v>51</v>
      </c>
      <c r="F2" s="3" t="s">
        <v>52</v>
      </c>
      <c r="G2" s="3" t="s">
        <v>53</v>
      </c>
      <c r="H2" s="3" t="s">
        <v>54</v>
      </c>
      <c r="I2" s="3" t="s">
        <v>53</v>
      </c>
      <c r="J2" s="3" t="s">
        <v>55</v>
      </c>
      <c r="K2" s="3" t="s">
        <v>56</v>
      </c>
      <c r="L2" s="3" t="s">
        <v>53</v>
      </c>
      <c r="M2" s="3" t="s">
        <v>53</v>
      </c>
      <c r="N2" s="4"/>
    </row>
    <row r="3" spans="1:14" ht="21" customHeight="1" x14ac:dyDescent="0.2">
      <c r="A3" s="5" t="s">
        <v>46</v>
      </c>
      <c r="B3" s="5">
        <v>3</v>
      </c>
      <c r="C3" s="5" t="s">
        <v>4</v>
      </c>
      <c r="D3" s="5" t="s">
        <v>4</v>
      </c>
      <c r="E3" s="5" t="s">
        <v>4</v>
      </c>
      <c r="F3" s="5" t="s">
        <v>4</v>
      </c>
      <c r="G3" s="5" t="s">
        <v>5</v>
      </c>
      <c r="H3" s="5" t="s">
        <v>4</v>
      </c>
      <c r="I3" s="5" t="s">
        <v>5</v>
      </c>
      <c r="J3" s="5" t="s">
        <v>4</v>
      </c>
      <c r="K3" s="5" t="s">
        <v>5</v>
      </c>
      <c r="L3" s="5" t="s">
        <v>5</v>
      </c>
      <c r="M3" s="5" t="s">
        <v>5</v>
      </c>
      <c r="N3" s="6">
        <f>COUNTIF(C3:M3,"SI")/6</f>
        <v>1</v>
      </c>
    </row>
    <row r="4" spans="1:14" ht="21" customHeight="1" x14ac:dyDescent="0.2">
      <c r="A4" s="5" t="s">
        <v>47</v>
      </c>
      <c r="B4" s="5">
        <v>3</v>
      </c>
      <c r="C4" s="5" t="s">
        <v>4</v>
      </c>
      <c r="D4" s="5" t="s">
        <v>4</v>
      </c>
      <c r="E4" s="5" t="s">
        <v>4</v>
      </c>
      <c r="F4" s="5" t="s">
        <v>4</v>
      </c>
      <c r="G4" s="5" t="s">
        <v>5</v>
      </c>
      <c r="H4" s="5" t="s">
        <v>4</v>
      </c>
      <c r="I4" s="5" t="s">
        <v>5</v>
      </c>
      <c r="J4" s="5" t="s">
        <v>4</v>
      </c>
      <c r="K4" s="5" t="s">
        <v>5</v>
      </c>
      <c r="L4" s="5" t="s">
        <v>5</v>
      </c>
      <c r="M4" s="5" t="s">
        <v>5</v>
      </c>
      <c r="N4" s="6">
        <f>COUNTIF(C4:M4,"SI")/6</f>
        <v>1</v>
      </c>
    </row>
    <row r="5" spans="1:14" ht="21" customHeight="1" x14ac:dyDescent="0.2">
      <c r="A5" s="5" t="s">
        <v>48</v>
      </c>
      <c r="B5" s="5">
        <v>4</v>
      </c>
      <c r="C5" s="5" t="s">
        <v>4</v>
      </c>
      <c r="D5" s="5" t="s">
        <v>4</v>
      </c>
      <c r="E5" s="5" t="s">
        <v>4</v>
      </c>
      <c r="F5" s="5" t="s">
        <v>4</v>
      </c>
      <c r="G5" s="5" t="s">
        <v>5</v>
      </c>
      <c r="H5" s="5" t="s">
        <v>4</v>
      </c>
      <c r="I5" s="5" t="s">
        <v>5</v>
      </c>
      <c r="J5" s="5" t="s">
        <v>4</v>
      </c>
      <c r="K5" s="5" t="s">
        <v>4</v>
      </c>
      <c r="L5" s="5" t="s">
        <v>4</v>
      </c>
      <c r="M5" s="5" t="s">
        <v>5</v>
      </c>
      <c r="N5" s="6">
        <f>COUNTIF(C5:M5,"SI")/8</f>
        <v>1</v>
      </c>
    </row>
    <row r="6" spans="1:14" ht="21" customHeight="1" x14ac:dyDescent="0.2">
      <c r="A6" s="5" t="s">
        <v>3</v>
      </c>
      <c r="B6" s="5">
        <v>5</v>
      </c>
      <c r="C6" s="5" t="s">
        <v>4</v>
      </c>
      <c r="D6" s="5" t="s">
        <v>4</v>
      </c>
      <c r="E6" s="5" t="s">
        <v>4</v>
      </c>
      <c r="F6" s="5" t="s">
        <v>4</v>
      </c>
      <c r="G6" s="5" t="s">
        <v>5</v>
      </c>
      <c r="H6" s="5" t="s">
        <v>4</v>
      </c>
      <c r="I6" s="5" t="s">
        <v>5</v>
      </c>
      <c r="J6" s="5" t="s">
        <v>4</v>
      </c>
      <c r="K6" s="5" t="s">
        <v>4</v>
      </c>
      <c r="L6" s="5" t="s">
        <v>4</v>
      </c>
      <c r="M6" s="5" t="s">
        <v>5</v>
      </c>
      <c r="N6" s="6">
        <f>COUNTIF(C6:M6,"SI")/8</f>
        <v>1</v>
      </c>
    </row>
    <row r="7" spans="1:14" ht="21" customHeight="1" x14ac:dyDescent="0.2">
      <c r="A7" s="5" t="s">
        <v>6</v>
      </c>
      <c r="B7" s="5">
        <v>5</v>
      </c>
      <c r="C7" s="5" t="s">
        <v>4</v>
      </c>
      <c r="D7" s="5" t="s">
        <v>4</v>
      </c>
      <c r="E7" s="5" t="s">
        <v>4</v>
      </c>
      <c r="F7" s="5" t="s">
        <v>4</v>
      </c>
      <c r="G7" s="5" t="s">
        <v>5</v>
      </c>
      <c r="H7" s="5" t="s">
        <v>4</v>
      </c>
      <c r="I7" s="5" t="s">
        <v>5</v>
      </c>
      <c r="J7" s="5" t="s">
        <v>4</v>
      </c>
      <c r="K7" s="5" t="s">
        <v>4</v>
      </c>
      <c r="L7" s="5" t="s">
        <v>4</v>
      </c>
      <c r="M7" s="5" t="s">
        <v>5</v>
      </c>
      <c r="N7" s="6">
        <f>COUNTIF(C7:M7,"SI")/8</f>
        <v>1</v>
      </c>
    </row>
    <row r="8" spans="1:14" ht="21" customHeight="1" x14ac:dyDescent="0.2">
      <c r="A8" s="5" t="s">
        <v>7</v>
      </c>
      <c r="B8" s="5">
        <v>5</v>
      </c>
      <c r="C8" s="5" t="s">
        <v>4</v>
      </c>
      <c r="D8" s="5" t="s">
        <v>4</v>
      </c>
      <c r="E8" s="5" t="s">
        <v>4</v>
      </c>
      <c r="F8" s="5" t="s">
        <v>4</v>
      </c>
      <c r="G8" s="5" t="s">
        <v>5</v>
      </c>
      <c r="H8" s="5" t="s">
        <v>4</v>
      </c>
      <c r="I8" s="5" t="s">
        <v>5</v>
      </c>
      <c r="J8" s="5" t="s">
        <v>4</v>
      </c>
      <c r="K8" s="5" t="s">
        <v>4</v>
      </c>
      <c r="L8" s="5" t="s">
        <v>4</v>
      </c>
      <c r="M8" s="5" t="s">
        <v>5</v>
      </c>
      <c r="N8" s="6">
        <f>COUNTIF(C8:M8,"SI")/8</f>
        <v>1</v>
      </c>
    </row>
    <row r="9" spans="1:14" ht="21" customHeight="1" x14ac:dyDescent="0.2">
      <c r="A9" s="5" t="s">
        <v>15</v>
      </c>
      <c r="B9" s="5" t="s">
        <v>57</v>
      </c>
      <c r="C9" s="5" t="s">
        <v>4</v>
      </c>
      <c r="D9" s="5" t="s">
        <v>4</v>
      </c>
      <c r="E9" s="5" t="s">
        <v>4</v>
      </c>
      <c r="F9" s="5" t="s">
        <v>4</v>
      </c>
      <c r="G9" s="5" t="s">
        <v>5</v>
      </c>
      <c r="H9" s="5" t="s">
        <v>4</v>
      </c>
      <c r="I9" s="5" t="s">
        <v>5</v>
      </c>
      <c r="J9" s="5" t="s">
        <v>4</v>
      </c>
      <c r="K9" s="5" t="s">
        <v>4</v>
      </c>
      <c r="L9" s="5" t="s">
        <v>4</v>
      </c>
      <c r="M9" s="5" t="s">
        <v>5</v>
      </c>
      <c r="N9" s="6">
        <f>COUNTIF(C9:M9,"SI")/8</f>
        <v>1</v>
      </c>
    </row>
    <row r="10" spans="1:14" ht="21" customHeight="1" x14ac:dyDescent="0.2">
      <c r="A10" s="5" t="s">
        <v>16</v>
      </c>
      <c r="B10" s="5">
        <v>5</v>
      </c>
      <c r="C10" s="5" t="s">
        <v>4</v>
      </c>
      <c r="D10" s="5" t="s">
        <v>4</v>
      </c>
      <c r="E10" s="5" t="s">
        <v>4</v>
      </c>
      <c r="F10" s="5" t="s">
        <v>4</v>
      </c>
      <c r="G10" s="5" t="s">
        <v>5</v>
      </c>
      <c r="H10" s="5" t="s">
        <v>4</v>
      </c>
      <c r="I10" s="5" t="s">
        <v>5</v>
      </c>
      <c r="J10" s="5" t="s">
        <v>4</v>
      </c>
      <c r="K10" s="5" t="s">
        <v>4</v>
      </c>
      <c r="L10" s="5" t="s">
        <v>4</v>
      </c>
      <c r="M10" s="5" t="s">
        <v>5</v>
      </c>
      <c r="N10" s="6">
        <f>COUNTIF(C10:M10,"SI")/8</f>
        <v>1</v>
      </c>
    </row>
    <row r="11" spans="1:14" ht="21" customHeight="1" x14ac:dyDescent="0.2">
      <c r="A11" s="5" t="s">
        <v>17</v>
      </c>
      <c r="B11" s="5">
        <v>5</v>
      </c>
      <c r="C11" s="5" t="s">
        <v>4</v>
      </c>
      <c r="D11" s="5" t="s">
        <v>4</v>
      </c>
      <c r="E11" s="5" t="s">
        <v>4</v>
      </c>
      <c r="F11" s="5" t="s">
        <v>4</v>
      </c>
      <c r="G11" s="5" t="s">
        <v>5</v>
      </c>
      <c r="H11" s="5" t="s">
        <v>4</v>
      </c>
      <c r="I11" s="5" t="s">
        <v>5</v>
      </c>
      <c r="J11" s="5" t="s">
        <v>4</v>
      </c>
      <c r="K11" s="5" t="s">
        <v>4</v>
      </c>
      <c r="L11" s="5" t="s">
        <v>4</v>
      </c>
      <c r="M11" s="5" t="s">
        <v>5</v>
      </c>
      <c r="N11" s="6">
        <f>COUNTIF(C11:M11,"SI")/8</f>
        <v>1</v>
      </c>
    </row>
    <row r="12" spans="1:14" ht="21" customHeight="1" x14ac:dyDescent="0.2">
      <c r="A12" s="5" t="s">
        <v>18</v>
      </c>
      <c r="B12" s="5" t="s">
        <v>57</v>
      </c>
      <c r="C12" s="5" t="s">
        <v>4</v>
      </c>
      <c r="D12" s="5" t="s">
        <v>4</v>
      </c>
      <c r="E12" s="5" t="s">
        <v>4</v>
      </c>
      <c r="F12" s="5" t="s">
        <v>4</v>
      </c>
      <c r="G12" s="5" t="s">
        <v>5</v>
      </c>
      <c r="H12" s="5" t="s">
        <v>4</v>
      </c>
      <c r="I12" s="5" t="s">
        <v>5</v>
      </c>
      <c r="J12" s="5" t="s">
        <v>4</v>
      </c>
      <c r="K12" s="5" t="s">
        <v>4</v>
      </c>
      <c r="L12" s="5" t="s">
        <v>4</v>
      </c>
      <c r="M12" s="5" t="s">
        <v>5</v>
      </c>
      <c r="N12" s="6">
        <f>COUNTIF(C12:M12,"SI")/8</f>
        <v>1</v>
      </c>
    </row>
    <row r="13" spans="1:14" ht="21" customHeight="1" x14ac:dyDescent="0.2">
      <c r="A13" s="5" t="s">
        <v>19</v>
      </c>
      <c r="B13" s="5">
        <v>5</v>
      </c>
      <c r="C13" s="5" t="s">
        <v>4</v>
      </c>
      <c r="D13" s="5" t="s">
        <v>4</v>
      </c>
      <c r="E13" s="5" t="s">
        <v>4</v>
      </c>
      <c r="F13" s="5" t="s">
        <v>4</v>
      </c>
      <c r="G13" s="5" t="s">
        <v>5</v>
      </c>
      <c r="H13" s="5" t="s">
        <v>4</v>
      </c>
      <c r="I13" s="5" t="s">
        <v>5</v>
      </c>
      <c r="J13" s="5" t="s">
        <v>4</v>
      </c>
      <c r="K13" s="5" t="s">
        <v>4</v>
      </c>
      <c r="L13" s="5" t="s">
        <v>4</v>
      </c>
      <c r="M13" s="5" t="s">
        <v>5</v>
      </c>
      <c r="N13" s="6">
        <f>COUNTIF(C13:M13,"SI")/8</f>
        <v>1</v>
      </c>
    </row>
    <row r="14" spans="1:14" ht="21" customHeight="1" x14ac:dyDescent="0.2">
      <c r="A14" s="5" t="s">
        <v>20</v>
      </c>
      <c r="B14" s="5">
        <v>5</v>
      </c>
      <c r="C14" s="5" t="s">
        <v>4</v>
      </c>
      <c r="D14" s="5" t="s">
        <v>4</v>
      </c>
      <c r="E14" s="5" t="s">
        <v>4</v>
      </c>
      <c r="F14" s="5" t="s">
        <v>4</v>
      </c>
      <c r="G14" s="5" t="s">
        <v>5</v>
      </c>
      <c r="H14" s="5" t="s">
        <v>4</v>
      </c>
      <c r="I14" s="5" t="s">
        <v>5</v>
      </c>
      <c r="J14" s="5" t="s">
        <v>4</v>
      </c>
      <c r="K14" s="5" t="s">
        <v>4</v>
      </c>
      <c r="L14" s="5" t="s">
        <v>4</v>
      </c>
      <c r="M14" s="5" t="s">
        <v>5</v>
      </c>
      <c r="N14" s="6">
        <f>COUNTIF(C14:M14,"SI")/8</f>
        <v>1</v>
      </c>
    </row>
    <row r="15" spans="1:14" ht="21" customHeight="1" x14ac:dyDescent="0.2">
      <c r="A15" s="5" t="s">
        <v>25</v>
      </c>
      <c r="B15" s="5">
        <v>5</v>
      </c>
      <c r="C15" s="5" t="s">
        <v>4</v>
      </c>
      <c r="D15" s="5" t="s">
        <v>4</v>
      </c>
      <c r="E15" s="5" t="s">
        <v>4</v>
      </c>
      <c r="F15" s="5" t="s">
        <v>4</v>
      </c>
      <c r="G15" s="5" t="s">
        <v>5</v>
      </c>
      <c r="H15" s="5" t="s">
        <v>4</v>
      </c>
      <c r="I15" s="5" t="s">
        <v>5</v>
      </c>
      <c r="J15" s="5" t="s">
        <v>4</v>
      </c>
      <c r="K15" s="5" t="s">
        <v>4</v>
      </c>
      <c r="L15" s="5" t="s">
        <v>4</v>
      </c>
      <c r="M15" s="5" t="s">
        <v>5</v>
      </c>
      <c r="N15" s="6">
        <f>COUNTIF(C15:M15,"SI")/8</f>
        <v>1</v>
      </c>
    </row>
    <row r="16" spans="1:14" ht="21" customHeight="1" x14ac:dyDescent="0.2">
      <c r="A16" s="5" t="s">
        <v>30</v>
      </c>
      <c r="B16" s="5">
        <v>5</v>
      </c>
      <c r="C16" s="5" t="s">
        <v>4</v>
      </c>
      <c r="D16" s="5" t="s">
        <v>4</v>
      </c>
      <c r="E16" s="5" t="s">
        <v>4</v>
      </c>
      <c r="F16" s="5" t="s">
        <v>4</v>
      </c>
      <c r="G16" s="5" t="s">
        <v>5</v>
      </c>
      <c r="H16" s="5" t="s">
        <v>4</v>
      </c>
      <c r="I16" s="5" t="s">
        <v>5</v>
      </c>
      <c r="J16" s="5" t="s">
        <v>4</v>
      </c>
      <c r="K16" s="5" t="s">
        <v>4</v>
      </c>
      <c r="L16" s="5" t="s">
        <v>4</v>
      </c>
      <c r="M16" s="5" t="s">
        <v>5</v>
      </c>
      <c r="N16" s="6">
        <f>COUNTIF(C16:M16,"SI")/8</f>
        <v>1</v>
      </c>
    </row>
    <row r="17" spans="1:14" ht="21" customHeight="1" x14ac:dyDescent="0.2">
      <c r="A17" s="5" t="s">
        <v>26</v>
      </c>
      <c r="B17" s="5">
        <v>5</v>
      </c>
      <c r="C17" s="5" t="s">
        <v>4</v>
      </c>
      <c r="D17" s="5" t="s">
        <v>4</v>
      </c>
      <c r="E17" s="5" t="s">
        <v>4</v>
      </c>
      <c r="F17" s="5" t="s">
        <v>4</v>
      </c>
      <c r="G17" s="5" t="s">
        <v>5</v>
      </c>
      <c r="H17" s="5" t="s">
        <v>4</v>
      </c>
      <c r="I17" s="5" t="s">
        <v>5</v>
      </c>
      <c r="J17" s="5" t="s">
        <v>4</v>
      </c>
      <c r="K17" s="5" t="s">
        <v>4</v>
      </c>
      <c r="L17" s="5" t="s">
        <v>4</v>
      </c>
      <c r="M17" s="5" t="s">
        <v>5</v>
      </c>
      <c r="N17" s="6">
        <f>COUNTIF(C17:M17,"SI")/8</f>
        <v>1</v>
      </c>
    </row>
    <row r="18" spans="1:14" ht="21" customHeight="1" x14ac:dyDescent="0.2">
      <c r="A18" s="5" t="s">
        <v>22</v>
      </c>
      <c r="B18" s="5">
        <v>6</v>
      </c>
      <c r="C18" s="5" t="s">
        <v>4</v>
      </c>
      <c r="D18" s="5" t="s">
        <v>4</v>
      </c>
      <c r="E18" s="5" t="s">
        <v>4</v>
      </c>
      <c r="F18" s="5" t="s">
        <v>4</v>
      </c>
      <c r="G18" s="5" t="s">
        <v>5</v>
      </c>
      <c r="H18" s="5" t="s">
        <v>4</v>
      </c>
      <c r="I18" s="5" t="s">
        <v>5</v>
      </c>
      <c r="J18" s="5" t="s">
        <v>4</v>
      </c>
      <c r="K18" s="5" t="s">
        <v>4</v>
      </c>
      <c r="L18" s="5" t="s">
        <v>4</v>
      </c>
      <c r="M18" s="5" t="s">
        <v>4</v>
      </c>
      <c r="N18" s="6">
        <f>COUNTIF(C18:M18,"SI")/9</f>
        <v>1</v>
      </c>
    </row>
    <row r="19" spans="1:14" ht="21" customHeight="1" x14ac:dyDescent="0.2">
      <c r="A19" s="5" t="s">
        <v>21</v>
      </c>
      <c r="B19" s="5">
        <v>7</v>
      </c>
      <c r="C19" s="5" t="s">
        <v>4</v>
      </c>
      <c r="D19" s="5" t="s">
        <v>4</v>
      </c>
      <c r="E19" s="5" t="s">
        <v>4</v>
      </c>
      <c r="F19" s="5" t="s">
        <v>4</v>
      </c>
      <c r="G19" s="5" t="s">
        <v>5</v>
      </c>
      <c r="H19" s="5" t="s">
        <v>4</v>
      </c>
      <c r="I19" s="5" t="s">
        <v>5</v>
      </c>
      <c r="J19" s="5" t="s">
        <v>4</v>
      </c>
      <c r="K19" s="5" t="s">
        <v>4</v>
      </c>
      <c r="L19" s="5" t="s">
        <v>4</v>
      </c>
      <c r="M19" s="5" t="s">
        <v>5</v>
      </c>
      <c r="N19" s="6">
        <f>COUNTIF(C19:M19,"SI")/8</f>
        <v>1</v>
      </c>
    </row>
    <row r="20" spans="1:14" ht="21" customHeight="1" x14ac:dyDescent="0.2">
      <c r="A20" s="5" t="s">
        <v>8</v>
      </c>
      <c r="B20" s="5">
        <v>8</v>
      </c>
      <c r="C20" s="5" t="s">
        <v>4</v>
      </c>
      <c r="D20" s="5" t="s">
        <v>4</v>
      </c>
      <c r="E20" s="5" t="s">
        <v>4</v>
      </c>
      <c r="F20" s="5" t="s">
        <v>4</v>
      </c>
      <c r="G20" s="5" t="s">
        <v>5</v>
      </c>
      <c r="H20" s="5" t="s">
        <v>4</v>
      </c>
      <c r="I20" s="5" t="s">
        <v>5</v>
      </c>
      <c r="J20" s="5" t="s">
        <v>4</v>
      </c>
      <c r="K20" s="5" t="s">
        <v>4</v>
      </c>
      <c r="L20" s="5" t="s">
        <v>4</v>
      </c>
      <c r="M20" s="5" t="s">
        <v>4</v>
      </c>
      <c r="N20" s="6">
        <f>COUNTIF(C20:M20,"SI")/9</f>
        <v>1</v>
      </c>
    </row>
    <row r="21" spans="1:14" ht="21" customHeight="1" x14ac:dyDescent="0.2">
      <c r="A21" s="5" t="s">
        <v>13</v>
      </c>
      <c r="B21" s="5">
        <v>8</v>
      </c>
      <c r="C21" s="5" t="s">
        <v>4</v>
      </c>
      <c r="D21" s="5" t="s">
        <v>4</v>
      </c>
      <c r="E21" s="5" t="s">
        <v>4</v>
      </c>
      <c r="F21" s="5" t="s">
        <v>4</v>
      </c>
      <c r="G21" s="5" t="s">
        <v>5</v>
      </c>
      <c r="H21" s="5" t="s">
        <v>4</v>
      </c>
      <c r="I21" s="5" t="s">
        <v>5</v>
      </c>
      <c r="J21" s="5" t="s">
        <v>4</v>
      </c>
      <c r="K21" s="5" t="s">
        <v>4</v>
      </c>
      <c r="L21" s="5" t="s">
        <v>4</v>
      </c>
      <c r="M21" s="5" t="s">
        <v>4</v>
      </c>
      <c r="N21" s="6">
        <f>COUNTIF(C21:M21,"SI")/9</f>
        <v>1</v>
      </c>
    </row>
    <row r="22" spans="1:14" ht="21" customHeight="1" x14ac:dyDescent="0.2">
      <c r="A22" s="5" t="s">
        <v>27</v>
      </c>
      <c r="B22" s="5">
        <v>8</v>
      </c>
      <c r="C22" s="5" t="s">
        <v>4</v>
      </c>
      <c r="D22" s="5" t="s">
        <v>4</v>
      </c>
      <c r="E22" s="5" t="s">
        <v>4</v>
      </c>
      <c r="F22" s="5" t="s">
        <v>4</v>
      </c>
      <c r="G22" s="5" t="s">
        <v>5</v>
      </c>
      <c r="H22" s="5" t="s">
        <v>4</v>
      </c>
      <c r="I22" s="5" t="s">
        <v>5</v>
      </c>
      <c r="J22" s="5" t="s">
        <v>4</v>
      </c>
      <c r="K22" s="5" t="s">
        <v>4</v>
      </c>
      <c r="L22" s="5" t="s">
        <v>4</v>
      </c>
      <c r="M22" s="5" t="s">
        <v>4</v>
      </c>
      <c r="N22" s="6">
        <f>COUNTIF(C22:M22,"SI")/9</f>
        <v>1</v>
      </c>
    </row>
    <row r="23" spans="1:14" ht="21" customHeight="1" x14ac:dyDescent="0.2">
      <c r="A23" s="5" t="s">
        <v>31</v>
      </c>
      <c r="B23" s="5">
        <v>8</v>
      </c>
      <c r="C23" s="5" t="s">
        <v>4</v>
      </c>
      <c r="D23" s="5" t="s">
        <v>4</v>
      </c>
      <c r="E23" s="5" t="s">
        <v>4</v>
      </c>
      <c r="F23" s="5" t="s">
        <v>4</v>
      </c>
      <c r="G23" s="5" t="s">
        <v>5</v>
      </c>
      <c r="H23" s="5" t="s">
        <v>4</v>
      </c>
      <c r="I23" s="5" t="s">
        <v>5</v>
      </c>
      <c r="J23" s="5" t="s">
        <v>4</v>
      </c>
      <c r="K23" s="5" t="s">
        <v>4</v>
      </c>
      <c r="L23" s="5" t="s">
        <v>4</v>
      </c>
      <c r="M23" s="5" t="s">
        <v>4</v>
      </c>
      <c r="N23" s="6">
        <f>COUNTIF(C23:M23,"SI")/9</f>
        <v>1</v>
      </c>
    </row>
    <row r="24" spans="1:14" ht="21" customHeight="1" x14ac:dyDescent="0.2">
      <c r="A24" s="5" t="s">
        <v>9</v>
      </c>
      <c r="B24" s="5">
        <v>9</v>
      </c>
      <c r="C24" s="5" t="s">
        <v>4</v>
      </c>
      <c r="D24" s="5" t="s">
        <v>4</v>
      </c>
      <c r="E24" s="5" t="s">
        <v>4</v>
      </c>
      <c r="F24" s="5" t="s">
        <v>4</v>
      </c>
      <c r="G24" s="5" t="s">
        <v>4</v>
      </c>
      <c r="H24" s="5" t="s">
        <v>4</v>
      </c>
      <c r="I24" s="5" t="s">
        <v>4</v>
      </c>
      <c r="J24" s="5" t="s">
        <v>4</v>
      </c>
      <c r="K24" s="5" t="s">
        <v>4</v>
      </c>
      <c r="L24" s="5" t="s">
        <v>4</v>
      </c>
      <c r="M24" s="5" t="s">
        <v>4</v>
      </c>
      <c r="N24" s="6">
        <f>COUNTIF(C24:M24,"SI")/11</f>
        <v>1</v>
      </c>
    </row>
    <row r="25" spans="1:14" ht="21" customHeight="1" x14ac:dyDescent="0.2">
      <c r="A25" s="5" t="s">
        <v>23</v>
      </c>
      <c r="B25" s="5">
        <v>9</v>
      </c>
      <c r="C25" s="5" t="s">
        <v>4</v>
      </c>
      <c r="D25" s="5" t="s">
        <v>4</v>
      </c>
      <c r="E25" s="5" t="s">
        <v>4</v>
      </c>
      <c r="F25" s="5" t="s">
        <v>4</v>
      </c>
      <c r="G25" s="5" t="s">
        <v>4</v>
      </c>
      <c r="H25" s="5" t="s">
        <v>4</v>
      </c>
      <c r="I25" s="5" t="s">
        <v>4</v>
      </c>
      <c r="J25" s="5" t="s">
        <v>4</v>
      </c>
      <c r="K25" s="5" t="s">
        <v>4</v>
      </c>
      <c r="L25" s="5" t="s">
        <v>4</v>
      </c>
      <c r="M25" s="5" t="s">
        <v>5</v>
      </c>
      <c r="N25" s="6">
        <f>COUNTIF(C25:M25,"SI")/10</f>
        <v>1</v>
      </c>
    </row>
    <row r="26" spans="1:14" ht="21" customHeight="1" x14ac:dyDescent="0.2">
      <c r="A26" s="5" t="s">
        <v>14</v>
      </c>
      <c r="B26" s="5">
        <v>9</v>
      </c>
      <c r="C26" s="5" t="s">
        <v>4</v>
      </c>
      <c r="D26" s="5" t="s">
        <v>4</v>
      </c>
      <c r="E26" s="5" t="s">
        <v>4</v>
      </c>
      <c r="F26" s="5" t="s">
        <v>4</v>
      </c>
      <c r="G26" s="5" t="s">
        <v>5</v>
      </c>
      <c r="H26" s="5" t="s">
        <v>4</v>
      </c>
      <c r="I26" s="5" t="s">
        <v>5</v>
      </c>
      <c r="J26" s="5" t="s">
        <v>4</v>
      </c>
      <c r="K26" s="5" t="s">
        <v>4</v>
      </c>
      <c r="L26" s="5" t="s">
        <v>4</v>
      </c>
      <c r="M26" s="5" t="s">
        <v>4</v>
      </c>
      <c r="N26" s="6">
        <f>COUNTIF(C26:M26,"SI")/9</f>
        <v>1</v>
      </c>
    </row>
    <row r="27" spans="1:14" ht="21" customHeight="1" x14ac:dyDescent="0.2">
      <c r="A27" s="5" t="s">
        <v>28</v>
      </c>
      <c r="B27" s="5">
        <v>9</v>
      </c>
      <c r="C27" s="5" t="s">
        <v>4</v>
      </c>
      <c r="D27" s="5" t="s">
        <v>4</v>
      </c>
      <c r="E27" s="5" t="s">
        <v>4</v>
      </c>
      <c r="F27" s="5" t="s">
        <v>4</v>
      </c>
      <c r="G27" s="5" t="s">
        <v>4</v>
      </c>
      <c r="H27" s="5" t="s">
        <v>4</v>
      </c>
      <c r="I27" s="5" t="s">
        <v>4</v>
      </c>
      <c r="J27" s="5" t="s">
        <v>4</v>
      </c>
      <c r="K27" s="5" t="s">
        <v>4</v>
      </c>
      <c r="L27" s="5" t="s">
        <v>4</v>
      </c>
      <c r="M27" s="5" t="s">
        <v>4</v>
      </c>
      <c r="N27" s="6">
        <f>COUNTIF(C27:M27,"SI")/11</f>
        <v>1</v>
      </c>
    </row>
    <row r="28" spans="1:14" ht="21" customHeight="1" x14ac:dyDescent="0.2">
      <c r="A28" s="5" t="s">
        <v>29</v>
      </c>
      <c r="B28" s="5">
        <v>9</v>
      </c>
      <c r="C28" s="5" t="s">
        <v>4</v>
      </c>
      <c r="D28" s="5" t="s">
        <v>4</v>
      </c>
      <c r="E28" s="5" t="s">
        <v>4</v>
      </c>
      <c r="F28" s="5" t="s">
        <v>4</v>
      </c>
      <c r="G28" s="5" t="s">
        <v>4</v>
      </c>
      <c r="H28" s="5" t="s">
        <v>4</v>
      </c>
      <c r="I28" s="5" t="s">
        <v>4</v>
      </c>
      <c r="J28" s="5" t="s">
        <v>4</v>
      </c>
      <c r="K28" s="5" t="s">
        <v>4</v>
      </c>
      <c r="L28" s="5" t="s">
        <v>4</v>
      </c>
      <c r="M28" s="5" t="s">
        <v>4</v>
      </c>
      <c r="N28" s="6">
        <f>COUNTIF(C28:M28,"SI")/11</f>
        <v>1</v>
      </c>
    </row>
    <row r="29" spans="1:14" ht="21" customHeight="1" x14ac:dyDescent="0.2">
      <c r="A29" s="5" t="s">
        <v>10</v>
      </c>
      <c r="B29" s="5">
        <v>10</v>
      </c>
      <c r="C29" s="5" t="s">
        <v>4</v>
      </c>
      <c r="D29" s="5" t="s">
        <v>4</v>
      </c>
      <c r="E29" s="5" t="s">
        <v>4</v>
      </c>
      <c r="F29" s="5" t="s">
        <v>4</v>
      </c>
      <c r="G29" s="5" t="s">
        <v>4</v>
      </c>
      <c r="H29" s="5" t="s">
        <v>4</v>
      </c>
      <c r="I29" s="5" t="s">
        <v>4</v>
      </c>
      <c r="J29" s="5" t="s">
        <v>4</v>
      </c>
      <c r="K29" s="5" t="s">
        <v>4</v>
      </c>
      <c r="L29" s="5" t="s">
        <v>4</v>
      </c>
      <c r="M29" s="5" t="s">
        <v>4</v>
      </c>
      <c r="N29" s="6">
        <f>COUNTIF(C29:M29,"SI")/11</f>
        <v>1</v>
      </c>
    </row>
    <row r="30" spans="1:14" ht="21" customHeight="1" x14ac:dyDescent="0.2">
      <c r="A30" s="5" t="s">
        <v>12</v>
      </c>
      <c r="B30" s="5">
        <v>10</v>
      </c>
      <c r="C30" s="5" t="s">
        <v>4</v>
      </c>
      <c r="D30" s="5" t="s">
        <v>4</v>
      </c>
      <c r="E30" s="5" t="s">
        <v>4</v>
      </c>
      <c r="F30" s="5" t="s">
        <v>4</v>
      </c>
      <c r="G30" s="5" t="s">
        <v>4</v>
      </c>
      <c r="H30" s="5" t="s">
        <v>4</v>
      </c>
      <c r="I30" s="5" t="s">
        <v>4</v>
      </c>
      <c r="J30" s="5" t="s">
        <v>4</v>
      </c>
      <c r="K30" s="5" t="s">
        <v>4</v>
      </c>
      <c r="L30" s="5" t="s">
        <v>4</v>
      </c>
      <c r="M30" s="5" t="s">
        <v>4</v>
      </c>
      <c r="N30" s="6">
        <f>COUNTIF(C30:M30,"SI")/11</f>
        <v>1</v>
      </c>
    </row>
    <row r="31" spans="1:14" ht="21" customHeight="1" x14ac:dyDescent="0.2">
      <c r="A31" s="5" t="s">
        <v>24</v>
      </c>
      <c r="B31" s="5" t="s">
        <v>45</v>
      </c>
      <c r="C31" s="5" t="s">
        <v>4</v>
      </c>
      <c r="D31" s="5" t="s">
        <v>4</v>
      </c>
      <c r="E31" s="5" t="s">
        <v>4</v>
      </c>
      <c r="F31" s="5" t="s">
        <v>4</v>
      </c>
      <c r="G31" s="5" t="s">
        <v>4</v>
      </c>
      <c r="H31" s="5" t="s">
        <v>4</v>
      </c>
      <c r="I31" s="5" t="s">
        <v>4</v>
      </c>
      <c r="J31" s="5" t="s">
        <v>4</v>
      </c>
      <c r="K31" s="5" t="s">
        <v>4</v>
      </c>
      <c r="L31" s="5" t="s">
        <v>4</v>
      </c>
      <c r="M31" s="5" t="s">
        <v>5</v>
      </c>
      <c r="N31" s="6">
        <f>COUNTIF(C31:M31,"SI")/10</f>
        <v>1</v>
      </c>
    </row>
    <row r="32" spans="1:14" ht="21" customHeight="1" x14ac:dyDescent="0.2">
      <c r="A32" s="5" t="s">
        <v>32</v>
      </c>
      <c r="B32" s="5" t="s">
        <v>45</v>
      </c>
      <c r="C32" s="5" t="s">
        <v>11</v>
      </c>
      <c r="D32" s="5" t="s">
        <v>11</v>
      </c>
      <c r="E32" s="5" t="s">
        <v>11</v>
      </c>
      <c r="F32" s="5" t="s">
        <v>4</v>
      </c>
      <c r="G32" s="5" t="s">
        <v>4</v>
      </c>
      <c r="H32" s="5" t="s">
        <v>11</v>
      </c>
      <c r="I32" s="5" t="s">
        <v>4</v>
      </c>
      <c r="J32" s="5" t="s">
        <v>11</v>
      </c>
      <c r="K32" s="5" t="s">
        <v>4</v>
      </c>
      <c r="L32" s="5" t="s">
        <v>4</v>
      </c>
      <c r="M32" s="5" t="s">
        <v>5</v>
      </c>
      <c r="N32" s="6">
        <f>COUNTIF(C32:M32,"SI")/5</f>
        <v>1</v>
      </c>
    </row>
    <row r="33" spans="1:14" ht="21" customHeight="1" x14ac:dyDescent="0.2">
      <c r="A33" s="5" t="s">
        <v>33</v>
      </c>
      <c r="B33" s="5" t="s">
        <v>45</v>
      </c>
      <c r="C33" s="5" t="s">
        <v>4</v>
      </c>
      <c r="D33" s="5" t="s">
        <v>4</v>
      </c>
      <c r="E33" s="5" t="s">
        <v>4</v>
      </c>
      <c r="F33" s="5" t="s">
        <v>4</v>
      </c>
      <c r="G33" s="5" t="s">
        <v>4</v>
      </c>
      <c r="H33" s="5" t="s">
        <v>4</v>
      </c>
      <c r="I33" s="5" t="s">
        <v>4</v>
      </c>
      <c r="J33" s="5" t="s">
        <v>4</v>
      </c>
      <c r="K33" s="5" t="s">
        <v>4</v>
      </c>
      <c r="L33" s="5" t="s">
        <v>4</v>
      </c>
      <c r="M33" s="5" t="s">
        <v>5</v>
      </c>
      <c r="N33" s="6">
        <f>COUNTIF(C33:M33,"SI")/10</f>
        <v>1</v>
      </c>
    </row>
  </sheetData>
  <sortState xmlns:xlrd2="http://schemas.microsoft.com/office/spreadsheetml/2017/richdata2" ref="A6:N33">
    <sortCondition ref="B1:B33"/>
  </sortState>
  <mergeCells count="2">
    <mergeCell ref="A1:A2"/>
    <mergeCell ref="B1:B2"/>
  </mergeCells>
  <conditionalFormatting sqref="C3:M33">
    <cfRule type="containsText" dxfId="5" priority="1" operator="containsText" text="No aplica">
      <formula>NOT(ISERROR(SEARCH("No aplica",C3)))</formula>
    </cfRule>
    <cfRule type="containsText" dxfId="4" priority="2" operator="containsText" text="NO">
      <formula>NOT(ISERROR(SEARCH("NO",C3)))</formula>
    </cfRule>
    <cfRule type="containsText" dxfId="3" priority="3" operator="containsText" text="SI">
      <formula>NOT(ISERROR(SEARCH("SI",C3)))</formula>
    </cfRule>
  </conditionalFormatting>
  <conditionalFormatting sqref="N3:N33">
    <cfRule type="cellIs" dxfId="2" priority="7" operator="greaterThan">
      <formula>0.85</formula>
    </cfRule>
    <cfRule type="cellIs" dxfId="1" priority="8" stopIfTrue="1" operator="between">
      <formula>0.7</formula>
      <formula>0.84999</formula>
    </cfRule>
    <cfRule type="cellIs" dxfId="0" priority="9" stopIfTrue="1" operator="lessThan">
      <formula>0.69999</formula>
    </cfRule>
  </conditionalFormatting>
  <pageMargins left="0.75" right="0.75" top="1" bottom="1" header="0.5" footer="0.5"/>
  <pageSetup scale="89" orientation="landscape" horizontalDpi="0" verticalDpi="0" copies="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José Manuel Jaime Morales Gimnasia Varonil Kids Center</cp:lastModifiedBy>
  <cp:revision/>
  <dcterms:created xsi:type="dcterms:W3CDTF">2026-06-10T18:02:56Z</dcterms:created>
  <dcterms:modified xsi:type="dcterms:W3CDTF">2026-09-30T05:22:08Z</dcterms:modified>
  <cp:category/>
  <cp:contentStatus/>
</cp:coreProperties>
</file>