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0" documentId="13_ncr:1_{4681491B-5DA5-504A-8D59-CA9E43B0ABEE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3" i="1"/>
  <c r="N4" i="1"/>
  <c r="N21" i="1"/>
  <c r="N33" i="1"/>
  <c r="N32" i="1"/>
  <c r="N30" i="1"/>
  <c r="N31" i="1"/>
  <c r="N29" i="1"/>
  <c r="N27" i="1"/>
  <c r="N28" i="1"/>
  <c r="N26" i="1"/>
  <c r="N9" i="1"/>
  <c r="N15" i="1"/>
  <c r="N7" i="1"/>
  <c r="N10" i="1"/>
  <c r="N11" i="1"/>
  <c r="N12" i="1"/>
  <c r="N16" i="1"/>
  <c r="N13" i="1"/>
  <c r="N14" i="1"/>
  <c r="N8" i="1"/>
  <c r="N19" i="1"/>
  <c r="N18" i="1"/>
  <c r="N20" i="1"/>
  <c r="N17" i="1"/>
  <c r="N22" i="1"/>
  <c r="N23" i="1"/>
  <c r="N24" i="1"/>
  <c r="N25" i="1"/>
  <c r="N6" i="1"/>
</calcChain>
</file>

<file path=xl/sharedStrings.xml><?xml version="1.0" encoding="utf-8"?>
<sst xmlns="http://schemas.openxmlformats.org/spreadsheetml/2006/main" count="400" uniqueCount="57">
  <si>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</si>
  <si>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</si>
  <si>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</si>
  <si>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</si>
  <si>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</si>
  <si>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</si>
  <si>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</si>
  <si>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</si>
  <si>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</si>
  <si>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</si>
  <si>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</si>
  <si>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</si>
  <si>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</si>
  <si>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</si>
  <si>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</si>
  <si>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</si>
  <si>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</si>
  <si>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</si>
  <si>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</si>
  <si>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</si>
  <si>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</si>
  <si>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</si>
  <si>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</si>
  <si>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</si>
  <si>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</si>
  <si>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</si>
  <si>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</si>
  <si>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</si>
  <si>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</si>
  <si>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</si>
  <si>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</si>
  <si>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</si>
  <si>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</si>
  <si>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</si>
  <si>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COPA ACTION GYM 26</t>
  </si>
  <si>
    <t>COPA BENITO JUAREZ 2</t>
  </si>
  <si>
    <t>CTRL DE ENERO</t>
  </si>
  <si>
    <t>MIKULAK INVITATIONAL CUP 2027</t>
  </si>
  <si>
    <t>SELECTIVO NACIONAL 2027</t>
  </si>
  <si>
    <t>AGEPAC 27</t>
  </si>
  <si>
    <t>2DO SELECTIVO 27</t>
  </si>
  <si>
    <t>COPA JAIME ROMERO 27</t>
  </si>
  <si>
    <t>CAMPEONATO ESTATAL GUEM 27</t>
  </si>
  <si>
    <t>CAMPEONATO NACIONAL FMG 27</t>
  </si>
  <si>
    <t>OLIMPIADA NACIONAL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</si>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</sst>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" sqref="N2"/>
    </sheetView>
  </sheetViews>
  <sheetFormatPr baseColWidth="10" defaultColWidth="9" defaultRowHeight="15" x14ac:dyDescent="0.2"/>
  <cols>
    <col min="1" max="1" width="18.83203125" style="1" bestFit="1" customWidth="1"/>
    <col min="2" max="2" width="5.1640625" style="1" bestFit="1" customWidth="1"/>
    <col min="3" max="13" width="12.33203125" style="1" customWidth="1"/>
    <col min="14" max="14" width="12.83203125" style="1" bestFit="1" customWidth="1"/>
    <col min="15" max="16384" width="9" style="1"/>
  </cols>
  <sheetData>
    <row r="1" spans="1:14" s="2" customFormat="1" ht="46" customHeight="1" x14ac:dyDescent="0.2">
      <c r="A1" s="7" t="s">
        <v>0</v>
      </c>
      <c r="B1" s="7" t="s">
        <v>1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4" t="s">
        <v>2</v>
      </c>
    </row>
    <row r="2" spans="1:14" s="2" customFormat="1" ht="46" customHeight="1" x14ac:dyDescent="0.2">
      <c r="A2" s="8"/>
      <c r="B2" s="8"/>
      <c r="C2" s="3" t="s">
        <v>49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53</v>
      </c>
      <c r="J2" s="3" t="s">
        <v>55</v>
      </c>
      <c r="K2" s="3" t="s">
        <v>56</v>
      </c>
      <c r="L2" s="3" t="s">
        <v>53</v>
      </c>
      <c r="M2" s="3" t="s">
        <v>53</v>
      </c>
      <c r="N2" s="4"/>
    </row>
    <row r="3" spans="1:14" x14ac:dyDescent="0.2">
      <c r="A3" s="5" t="s">
        <v>46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5</v>
      </c>
      <c r="M3" s="5" t="s">
        <v>5</v>
      </c>
      <c r="N3" s="6">
        <f t="shared" ref="N3:N20" si="0">COUNTIF(C3:M3,"SI")/7</f>
        <v>0.8571428571428571</v>
      </c>
    </row>
    <row r="4" spans="1:14" x14ac:dyDescent="0.2">
      <c r="A4" s="5" t="s">
        <v>47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5</v>
      </c>
      <c r="M4" s="5" t="s">
        <v>5</v>
      </c>
      <c r="N4" s="6">
        <f t="shared" si="0"/>
        <v>0.8571428571428571</v>
      </c>
    </row>
    <row r="5" spans="1:14" x14ac:dyDescent="0.2">
      <c r="A5" s="5" t="s">
        <v>48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5</v>
      </c>
      <c r="N5" s="6">
        <f t="shared" si="0"/>
        <v>1.1428571428571428</v>
      </c>
    </row>
    <row r="6" spans="1:14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5</v>
      </c>
      <c r="N6" s="6">
        <f t="shared" si="0"/>
        <v>1.1428571428571428</v>
      </c>
    </row>
    <row r="7" spans="1:14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5</v>
      </c>
      <c r="N7" s="6">
        <f t="shared" si="0"/>
        <v>1.1428571428571428</v>
      </c>
    </row>
    <row r="8" spans="1:14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5</v>
      </c>
      <c r="N8" s="6">
        <f t="shared" si="0"/>
        <v>1.1428571428571428</v>
      </c>
    </row>
    <row r="9" spans="1:14" x14ac:dyDescent="0.2">
      <c r="A9" s="5" t="s">
        <v>15</v>
      </c>
      <c r="B9" s="5">
        <v>5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5</v>
      </c>
      <c r="N9" s="6">
        <f t="shared" si="0"/>
        <v>1.1428571428571428</v>
      </c>
    </row>
    <row r="10" spans="1:14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5</v>
      </c>
      <c r="N10" s="6">
        <f t="shared" si="0"/>
        <v>1.1428571428571428</v>
      </c>
    </row>
    <row r="11" spans="1:14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5</v>
      </c>
      <c r="N11" s="6">
        <f t="shared" si="0"/>
        <v>1.1428571428571428</v>
      </c>
    </row>
    <row r="12" spans="1:14" x14ac:dyDescent="0.2">
      <c r="A12" s="5" t="s">
        <v>18</v>
      </c>
      <c r="B12" s="5">
        <v>5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5</v>
      </c>
      <c r="N12" s="6">
        <f t="shared" si="0"/>
        <v>1.1428571428571428</v>
      </c>
    </row>
    <row r="13" spans="1:14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5</v>
      </c>
      <c r="N13" s="6">
        <f t="shared" si="0"/>
        <v>1.1428571428571428</v>
      </c>
    </row>
    <row r="14" spans="1:14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5</v>
      </c>
      <c r="N14" s="6">
        <f t="shared" si="0"/>
        <v>1.1428571428571428</v>
      </c>
    </row>
    <row r="15" spans="1:14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5</v>
      </c>
      <c r="N15" s="6">
        <f t="shared" si="0"/>
        <v>1.1428571428571428</v>
      </c>
    </row>
    <row r="16" spans="1:14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5</v>
      </c>
      <c r="N16" s="6">
        <f t="shared" si="0"/>
        <v>1.1428571428571428</v>
      </c>
    </row>
    <row r="17" spans="1:14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5</v>
      </c>
      <c r="N17" s="6">
        <f t="shared" si="0"/>
        <v>1.1428571428571428</v>
      </c>
    </row>
    <row r="18" spans="1:14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6">
        <f t="shared" si="0"/>
        <v>1.2857142857142858</v>
      </c>
    </row>
    <row r="19" spans="1:14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5</v>
      </c>
      <c r="N19" s="6">
        <f t="shared" si="0"/>
        <v>1.1428571428571428</v>
      </c>
    </row>
    <row r="20" spans="1:14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6">
        <f t="shared" si="0"/>
        <v>1.2857142857142858</v>
      </c>
    </row>
    <row r="21" spans="1:14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6">
        <f>COUNTIF(C21:M21,"SI")/8</f>
        <v>1.125</v>
      </c>
    </row>
    <row r="22" spans="1:14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6">
        <f>COUNTIF(C22:M22,"SI")/7</f>
        <v>1.2857142857142858</v>
      </c>
    </row>
    <row r="23" spans="1:14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6">
        <f>COUNTIF(C23:M23,"SI")/7</f>
        <v>1.2857142857142858</v>
      </c>
    </row>
    <row r="24" spans="1:14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6">
        <f>COUNTIF(C24:M24,"SI")/7</f>
        <v>1.5714285714285714</v>
      </c>
    </row>
    <row r="25" spans="1:14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5</v>
      </c>
      <c r="N25" s="6">
        <f>COUNTIF(C25:M25,"SI")/7</f>
        <v>1.4285714285714286</v>
      </c>
    </row>
    <row r="26" spans="1:14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6">
        <f>COUNTIF(C26:M26,"SI")/8</f>
        <v>1.125</v>
      </c>
    </row>
    <row r="27" spans="1:14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6">
        <f>COUNTIF(C27:M27,"SI")/8</f>
        <v>1.375</v>
      </c>
    </row>
    <row r="28" spans="1:14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6">
        <f>COUNTIF(C28:M28,"SI")/8</f>
        <v>1.375</v>
      </c>
    </row>
    <row r="29" spans="1:14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6">
        <f>COUNTIF(C29:M29,"SI")/10</f>
        <v>1.1000000000000001</v>
      </c>
    </row>
    <row r="30" spans="1:14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6">
        <f>COUNTIF(C30:M30,"SI")/10</f>
        <v>1.1000000000000001</v>
      </c>
    </row>
    <row r="31" spans="1:14" x14ac:dyDescent="0.2">
      <c r="A31" s="5" t="s">
        <v>24</v>
      </c>
      <c r="B31" s="5" t="s">
        <v>45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5</v>
      </c>
      <c r="N31" s="6">
        <f>COUNTIF(C31:M31,"SI")/10</f>
        <v>1</v>
      </c>
    </row>
    <row r="32" spans="1:14" x14ac:dyDescent="0.2">
      <c r="A32" s="5" t="s">
        <v>32</v>
      </c>
      <c r="B32" s="5" t="s">
        <v>45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4</v>
      </c>
      <c r="M32" s="5" t="s">
        <v>5</v>
      </c>
      <c r="N32" s="6">
        <f>COUNTIF(C32:M32,"SI")/9</f>
        <v>0.55555555555555558</v>
      </c>
    </row>
    <row r="33" spans="1:14" x14ac:dyDescent="0.2">
      <c r="A33" s="5" t="s">
        <v>33</v>
      </c>
      <c r="B33" s="5" t="s">
        <v>45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5</v>
      </c>
      <c r="N33" s="6">
        <f>COUNTIF(C33:M33,"SI")/9</f>
        <v>1.1111111111111112</v>
      </c>
    </row>
  </sheetData>
  <sortState xmlns:xlrd2="http://schemas.microsoft.com/office/spreadsheetml/2017/richdata2" ref="A6:N33">
    <sortCondition ref="B1:B33"/>
  </sortState>
  <mergeCells count="2">
    <mergeCell ref="A1:A2"/>
    <mergeCell ref="B1:B2"/>
  </mergeCells>
  <conditionalFormatting sqref="C3:M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N3:N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2026-09-30T05:22:08Z</dcterms:modified>
  <cp:category/>
  <cp:contentStatus/>
</cp:coreProperties>
</file>